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stitutions" sheetId="2" state="visible" r:id="rId4"/>
    <sheet name="Course Catalog" sheetId="3" state="visible" r:id="rId5"/>
    <sheet name="Transfer Rules" sheetId="4" state="visible" r:id="rId6"/>
    <sheet name="Past Decisions" sheetId="5" state="visible" r:id="rId7"/>
    <sheet name="Equivalency DB" sheetId="6" state="visible" r:id="rId8"/>
    <sheet name="Students" sheetId="7" state="visible" r:id="rId9"/>
    <sheet name="Transcript Lines" sheetId="8" state="visible" r:id="rId10"/>
    <sheet name="Syllabi" sheetId="9" state="visible" r:id="rId11"/>
    <sheet name="Answer Key" sheetId="10" state="visible" r:id="rId12"/>
    <sheet name="Summary" sheetId="11" state="visible" r:id="rId13"/>
  </sheets>
  <definedNames>
    <definedName function="false" hidden="true" localSheetId="9" name="_xlnm._FilterDatabase" vbProcedure="false">'Answer Key'!$A$1:$J$36</definedName>
    <definedName function="false" hidden="true" localSheetId="2" name="_xlnm._FilterDatabase" vbProcedure="false">'Course Catalog'!$A$1:$I$155</definedName>
    <definedName function="false" hidden="true" localSheetId="5" name="_xlnm._FilterDatabase" vbProcedure="false">'Equivalency DB'!$A$1:$J$109</definedName>
    <definedName function="false" hidden="true" localSheetId="1" name="_xlnm._FilterDatabase" vbProcedure="false">Institutions!$A$1:$E$6</definedName>
    <definedName function="false" hidden="true" localSheetId="4" name="_xlnm._FilterDatabase" vbProcedure="false">'Past Decisions'!$A$1:$R$112</definedName>
    <definedName function="false" hidden="true" localSheetId="6" name="_xlnm._FilterDatabase" vbProcedure="false">Students!$A$1:$G$6</definedName>
    <definedName function="false" hidden="true" localSheetId="8" name="_xlnm._FilterDatabase" vbProcedure="false">Syllabi!$A$1:$E$5</definedName>
    <definedName function="false" hidden="true" localSheetId="7" name="_xlnm._FilterDatabase" vbProcedure="false">'Transcript Lines'!$A$1:$K$36</definedName>
    <definedName function="false" hidden="true" localSheetId="3" name="_xlnm._FilterDatabase" vbProcedure="false">'Transfer Rules'!$A$1:$F$12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<sst xmlns="http://schemas.openxmlformats.org/spreadsheetml/2006/main" count="4499" uniqueCount="1012">
  <si>
    <t xml:space="preserve">BU Transfer Credit Evaluation: Synthetic Data Pack</t>
  </si>
  <si>
    <t xml:space="preserve">Status</t>
  </si>
  <si>
    <t xml:space="preserve">SYNTHETIC. Generated for FDE AI Hackathon 5.0, Problem 1. Students, transcripts, decisions, evaluators, syllabi and the two fictional schools are invented. Not official BU equivalencies.</t>
  </si>
  <si>
    <t xml:space="preserve">Builds on</t>
  </si>
  <si>
    <t xml:space="preserve">BU_Transfer_Program_Course_Match.xlsx (supplied). Course codes, titles and credits for BU, Northeastern and NYU come from it; descriptions and learning outcomes were written for the hackathon.</t>
  </si>
  <si>
    <t xml:space="preserve">Fictional schools</t>
  </si>
  <si>
    <t xml:space="preserve">Harborview Community College (fictional): semester system, used for the community-college demo. Pacific Crest University (fictional): quarter system, used to test the 2/3 credit conversion.</t>
  </si>
  <si>
    <t xml:space="preserve">Sheets</t>
  </si>
  <si>
    <t xml:space="preserve">  Institutions</t>
  </si>
  <si>
    <t xml:space="preserve">The five sending/receiving institutions and their credit systems.</t>
  </si>
  <si>
    <t xml:space="preserve">  Course Catalog</t>
  </si>
  <si>
    <t xml:space="preserve">All courses with description and learning outcomes: the text the AI matcher compares.</t>
  </si>
  <si>
    <t xml:space="preserve">  Transfer Rules</t>
  </si>
  <si>
    <t xml:space="preserve">Machine-readable rules (grade, quarter conversion, Hub, deadline, Group C, Econ cap, Biology residency) with their source.</t>
  </si>
  <si>
    <t xml:space="preserve">  Past Decisions</t>
  </si>
  <si>
    <t xml:space="preserve">Evaluator decisions with rationale (Active and Superseded). Use as few-shot examples and to measure matcher accuracy.</t>
  </si>
  <si>
    <t xml:space="preserve">  Equivalency DB</t>
  </si>
  <si>
    <t xml:space="preserve">Active, reusable decisions: the lookup table checked first (steps 3-4 of BU's process).</t>
  </si>
  <si>
    <t xml:space="preserve">  Students / Transcript Lines</t>
  </si>
  <si>
    <t xml:space="preserve">5 synthetic students and 35 transcript lines. SYN-1001 is the suggested demo scenario.</t>
  </si>
  <si>
    <t xml:space="preserve">  Syllabi</t>
  </si>
  <si>
    <t xml:space="preserve">Index of 4 syllabus PDFs for courses with no existing equivalency.</t>
  </si>
  <si>
    <t xml:space="preserve">  Answer Key</t>
  </si>
  <si>
    <t xml:space="preserve">Expected outcome per transcript line. Hide it from the agent; use it to score the agent.</t>
  </si>
  <si>
    <t xml:space="preserve">  Summary</t>
  </si>
  <si>
    <t xml:space="preserve">Formula checks: counts by outcome and secure/pending units per student.</t>
  </si>
  <si>
    <t xml:space="preserve">Files</t>
  </si>
  <si>
    <t xml:space="preserve">transcripts/*.pdf: one synthetic transcript per student per institution (upload input). syllabi/*.pdf: the 4 syllabi.</t>
  </si>
  <si>
    <t xml:space="preserve">Assumptions (confirm with sponsor)</t>
  </si>
  <si>
    <t xml:space="preserve">  A1</t>
  </si>
  <si>
    <t xml:space="preserve">Quarter conversion truncates to 2 decimals (4 qtr = 2.66, 5 qtr = 3.33), matching BU's own example.</t>
  </si>
  <si>
    <t xml:space="preserve">  A2</t>
  </si>
  <si>
    <t xml:space="preserve">Units awarded = sending-school credits (after conversion), even when the BU course is 4 credits (e.g. NU 5-credit lab courses award 5).</t>
  </si>
  <si>
    <t xml:space="preserve">  A3</t>
  </si>
  <si>
    <t xml:space="preserve">CS Group C courses taken elsewhere earn CS elective credit but never satisfy the Group C requirement.</t>
  </si>
  <si>
    <t xml:space="preserve">  A4</t>
  </si>
  <si>
    <t xml:space="preserve">Pass/Fail grades are held for evaluator decision because a C or higher cannot be confirmed.</t>
  </si>
  <si>
    <t xml:space="preserve">  A5</t>
  </si>
  <si>
    <t xml:space="preserve">Developmental (pre-college) courses earn no credit.</t>
  </si>
  <si>
    <t xml:space="preserve">  A6</t>
  </si>
  <si>
    <t xml:space="preserve">The one-year deadline is measured from BU start date to the date the transcript is received.</t>
  </si>
  <si>
    <t xml:space="preserve">  A7</t>
  </si>
  <si>
    <t xml:space="preserve">Courses missing from the catalogue (ENGW 1111, EXPOS-UA 1) are deliberate: the agent should request a syllabus, not guess.</t>
  </si>
  <si>
    <t xml:space="preserve">Institution</t>
  </si>
  <si>
    <t xml:space="preserve">Type</t>
  </si>
  <si>
    <t xml:space="preserve">Credit system</t>
  </si>
  <si>
    <t xml:space="preserve">Conversion to BU semester credits</t>
  </si>
  <si>
    <t xml:space="preserve">Data origin</t>
  </si>
  <si>
    <t xml:space="preserve">Boston University</t>
  </si>
  <si>
    <t xml:space="preserve">Receiving university</t>
  </si>
  <si>
    <t xml:space="preserve">Semester</t>
  </si>
  <si>
    <t xml:space="preserve">—</t>
  </si>
  <si>
    <t xml:space="preserve">Supplied workbook</t>
  </si>
  <si>
    <t xml:space="preserve">Northeastern University</t>
  </si>
  <si>
    <t xml:space="preserve">Peer university</t>
  </si>
  <si>
    <t xml:space="preserve">1:1</t>
  </si>
  <si>
    <t xml:space="preserve">Supplied workbook + synthetic descriptions</t>
  </si>
  <si>
    <t xml:space="preserve">New York University</t>
  </si>
  <si>
    <t xml:space="preserve">Harborview Community College (fictional)</t>
  </si>
  <si>
    <t xml:space="preserve">Community college</t>
  </si>
  <si>
    <t xml:space="preserve">Fully synthetic</t>
  </si>
  <si>
    <t xml:space="preserve">Pacific Crest University (fictional)</t>
  </si>
  <si>
    <t xml:space="preserve">University</t>
  </si>
  <si>
    <t xml:space="preserve">Quarter</t>
  </si>
  <si>
    <t xml:space="preserve">× 2/3, truncated to 2 dp</t>
  </si>
  <si>
    <t xml:space="preserve">Course code</t>
  </si>
  <si>
    <t xml:space="preserve">Course title</t>
  </si>
  <si>
    <t xml:space="preserve">Program</t>
  </si>
  <si>
    <t xml:space="preserve">Credits</t>
  </si>
  <si>
    <t xml:space="preserve">Description</t>
  </si>
  <si>
    <t xml:space="preserve">Learning outcomes</t>
  </si>
  <si>
    <t xml:space="preserve">CAS CS 111</t>
  </si>
  <si>
    <t xml:space="preserve">Introduction to Computer Science 1</t>
  </si>
  <si>
    <t xml:space="preserve">Computer Science</t>
  </si>
  <si>
    <t xml:space="preserve">Introduction to programming and computational problem solving in a high-level language (Python). Covers variables, control flow, functions, recursion, lists and dictionaries, file input/output, an introduction to classes and objects, and testing and debugging practice.</t>
  </si>
  <si>
    <t xml:space="preserve">Write, test and debug programs of moderate size
Decompose problems into functions, including recursive solutions
Use lists, dictionaries and simple classes</t>
  </si>
  <si>
    <t xml:space="preserve">Code/title/credits from supplied workbook; description &amp; outcomes synthetic</t>
  </si>
  <si>
    <t xml:space="preserve">CAS CS 112</t>
  </si>
  <si>
    <t xml:space="preserve">Introduction to Computer Science 2</t>
  </si>
  <si>
    <t xml:space="preserve">Second programming course focused on data structures and their analysis, taught in an object-oriented language (Java). Covers linked lists, stacks, queues, trees, binary search trees, heaps, hash tables and an introduction to graphs, with Big-O analysis of each operation.</t>
  </si>
  <si>
    <t xml:space="preserve">Implement and use core data structures
Analyse time and space complexity using Big-O notation
Select an appropriate data structure for a given problem</t>
  </si>
  <si>
    <t xml:space="preserve">CAS CS 131</t>
  </si>
  <si>
    <t xml:space="preserve">Combinatoric Structures</t>
  </si>
  <si>
    <t xml:space="preserve">Mathematical foundations of computer science: propositional and predicate logic, proof techniques, induction, sets, functions and relations, counting and combinatorics, recurrence relations, graphs and trees, and an introduction to discrete probability.</t>
  </si>
  <si>
    <t xml:space="preserve">Construct direct, contradiction and induction proofs
Solve counting problems and recurrences
Reason about graphs and basic discrete probability</t>
  </si>
  <si>
    <t xml:space="preserve">CAS CS 210</t>
  </si>
  <si>
    <t xml:space="preserve">Computer Systems</t>
  </si>
  <si>
    <t xml:space="preserve">How programs execute on real machines: data representation, C programming, assembly language, memory hierarchy and caches, linking, processes and an introduction to concurrency.</t>
  </si>
  <si>
    <t xml:space="preserve">Write and debug C programs
Explain how high-level code maps to machine instructions
Reason about memory and cache performance</t>
  </si>
  <si>
    <t xml:space="preserve">CAS CS 330</t>
  </si>
  <si>
    <t xml:space="preserve">Introduction to the Analysis of Algorithms</t>
  </si>
  <si>
    <t xml:space="preserve">Design and analysis of algorithms: divide and conquer, greedy methods, dynamic programming, graph algorithms (search, shortest paths, minimum spanning trees), network flow and NP-completeness, with proofs of correctness and running time.</t>
  </si>
  <si>
    <t xml:space="preserve">Design algorithms using standard paradigms
Prove correctness and running time
Recognise intractable problems</t>
  </si>
  <si>
    <t xml:space="preserve">CAS CS 132</t>
  </si>
  <si>
    <t xml:space="preserve">Geometric Algorithms</t>
  </si>
  <si>
    <t xml:space="preserve">Linear algebra from a computational perspective: vectors, matrices, linear transformations, eigenvalues and least squares, applied to graphics, data analysis and machine learning, with programming assignments in Python.</t>
  </si>
  <si>
    <t xml:space="preserve">Perform core matrix computations
Apply linear algebra to computational problems
Implement linear-algebra algorithms in code</t>
  </si>
  <si>
    <t xml:space="preserve">CAS CS 235</t>
  </si>
  <si>
    <t xml:space="preserve">Algebraic Algorithms</t>
  </si>
  <si>
    <t xml:space="preserve">Algorithms for algebraic structures: modular arithmetic, groups, rings and fields, polynomials, and applications to cryptography and error-correcting codes.</t>
  </si>
  <si>
    <t xml:space="preserve">Compute in modular and polynomial arithmetic
Explain algebraic structures used in cryptography
Implement basic cryptographic algorithms</t>
  </si>
  <si>
    <t xml:space="preserve">CAS CS 237</t>
  </si>
  <si>
    <t xml:space="preserve">Probability in Computing</t>
  </si>
  <si>
    <t xml:space="preserve">Probability for computing: sample spaces, conditional probability, random variables, expectation and variance, common distributions, tail bounds and applications to randomised algorithms and simulation.</t>
  </si>
  <si>
    <t xml:space="preserve">Compute probabilities and expectations
Apply common distributions and tail bounds
Analyse simple randomised algorithms</t>
  </si>
  <si>
    <t xml:space="preserve">CAS CS 320</t>
  </si>
  <si>
    <t xml:space="preserve">Concepts of Programming Languages</t>
  </si>
  <si>
    <t xml:space="preserve">Concepts of programming languages: syntax and semantics, interpreters, scope, type systems, functional programming and language design trade-offs.</t>
  </si>
  <si>
    <t xml:space="preserve">Build a small interpreter
Explain type systems and scoping rules
Compare language design choices</t>
  </si>
  <si>
    <t xml:space="preserve">CAS CS 332</t>
  </si>
  <si>
    <t xml:space="preserve">Elements of the Theory of Computation</t>
  </si>
  <si>
    <t xml:space="preserve">Theory of computation: finite automata, regular languages, context-free grammars, Turing machines, decidability and an introduction to the complexity classes P and NP.</t>
  </si>
  <si>
    <t xml:space="preserve">Construct automata and grammars
Prove languages non-regular or undecidable
Explain P versus NP</t>
  </si>
  <si>
    <t xml:space="preserve">CAS CS 350</t>
  </si>
  <si>
    <t xml:space="preserve">Fundamentals of Computing Systems</t>
  </si>
  <si>
    <t xml:space="preserve">Fundamentals of computing systems: performance modelling, queuing, scheduling, concurrency and synchronisation, and operating-system resource management.</t>
  </si>
  <si>
    <t xml:space="preserve">Model system performance
Write correct concurrent code
Explain OS resource management</t>
  </si>
  <si>
    <t xml:space="preserve">CAS EC 101</t>
  </si>
  <si>
    <t xml:space="preserve">Introductory Microeconomic Analysis</t>
  </si>
  <si>
    <t xml:space="preserve">Economics</t>
  </si>
  <si>
    <t xml:space="preserve">Principles of microeconomics: supply and demand, consumer and producer behaviour, market structures, market failure and the role of government.</t>
  </si>
  <si>
    <t xml:space="preserve">Use supply and demand to analyse markets
Compare market structures
Evaluate policy responses to market failure</t>
  </si>
  <si>
    <t xml:space="preserve">CAS EC 102</t>
  </si>
  <si>
    <t xml:space="preserve">Introductory Macroeconomic Analysis</t>
  </si>
  <si>
    <t xml:space="preserve">Principles of macroeconomics: national income accounting, unemployment, inflation, economic growth, money and banking, and fiscal and monetary policy.</t>
  </si>
  <si>
    <t xml:space="preserve">Interpret macroeconomic indicators
Explain fiscal and monetary policy
Analyse short-run fluctuations</t>
  </si>
  <si>
    <t xml:space="preserve">CAS EC 201</t>
  </si>
  <si>
    <t xml:space="preserve">Intermediate Microeconomic Analysis</t>
  </si>
  <si>
    <t xml:space="preserve">Intermediate microeconomic theory using calculus: consumer choice, production and cost, general equilibrium, game theory and information economics.</t>
  </si>
  <si>
    <t xml:space="preserve">Solve constrained optimisation problems
Analyse strategic interaction
Evaluate welfare outcomes</t>
  </si>
  <si>
    <t xml:space="preserve">CAS EC 202</t>
  </si>
  <si>
    <t xml:space="preserve">Intermediate Macroeconomic Analysis</t>
  </si>
  <si>
    <t xml:space="preserve">Intermediate macroeconomic theory: growth models, business cycles, consumption and investment, open-economy macroeconomics and stabilisation policy.</t>
  </si>
  <si>
    <t xml:space="preserve">Use formal models of growth and cycles
Analyse policy in open economies
Interpret macroeconomic data</t>
  </si>
  <si>
    <t xml:space="preserve">CAS EC 203</t>
  </si>
  <si>
    <t xml:space="preserve">Empirical Economics 1</t>
  </si>
  <si>
    <t xml:space="preserve">Probability and statistics for economics: descriptive statistics, probability distributions, sampling, estimation, hypothesis testing and simple linear regression using statistical software.</t>
  </si>
  <si>
    <t xml:space="preserve">Summarise economic data
Conduct hypothesis tests
Estimate and interpret simple regressions</t>
  </si>
  <si>
    <t xml:space="preserve">CAS EC 204</t>
  </si>
  <si>
    <t xml:space="preserve">Empirical Economics 2</t>
  </si>
  <si>
    <t xml:space="preserve">Econometrics: multiple regression, inference, specification, heteroskedasticity, instrumental variables, panel data and causal inference, with an independent empirical project.</t>
  </si>
  <si>
    <t xml:space="preserve">Estimate and test multiple regression models
Apply IV and panel methods
Complete an empirical research project</t>
  </si>
  <si>
    <t xml:space="preserve">CAS PS 101</t>
  </si>
  <si>
    <t xml:space="preserve">General Psychology</t>
  </si>
  <si>
    <t xml:space="preserve">Psychology</t>
  </si>
  <si>
    <t xml:space="preserve">Survey of psychology as a science: research methods, biological bases of behaviour, sensation and perception, learning, memory, development, personality, social behaviour and psychological disorders.</t>
  </si>
  <si>
    <t xml:space="preserve">Describe major areas of psychology
Explain basic research methods
Apply psychological concepts to everyday behaviour</t>
  </si>
  <si>
    <t xml:space="preserve">CAS PS 211</t>
  </si>
  <si>
    <t xml:space="preserve">Experimental Design in Psychology</t>
  </si>
  <si>
    <t xml:space="preserve">Research methods in psychology: experimental design, validity, ethics and the statistics used to analyse experiments (t-tests, ANOVA), with lab reports written in APA style.</t>
  </si>
  <si>
    <t xml:space="preserve">Design a controlled experiment
Analyse results with t-tests and ANOVA
Write an APA-style lab report</t>
  </si>
  <si>
    <t xml:space="preserve">CAS PS 231</t>
  </si>
  <si>
    <t xml:space="preserve">Physiological Psychology</t>
  </si>
  <si>
    <t xml:space="preserve">Biological bases of behaviour: neurons and neurotransmission, neuroanatomy, hormones, sensory and motor systems, sleep, motivation, emotion and the effects of drugs.</t>
  </si>
  <si>
    <t xml:space="preserve">Explain neural communication
Relate brain systems to behaviour
Evaluate biological explanations of behaviour</t>
  </si>
  <si>
    <t xml:space="preserve">CAS PS 222</t>
  </si>
  <si>
    <t xml:space="preserve">Perception and Behavior</t>
  </si>
  <si>
    <t xml:space="preserve">Perception: how sensory systems transform physical energy into experience, with emphasis on vision and hearing, psychophysics and perceptual organisation.</t>
  </si>
  <si>
    <t xml:space="preserve">Explain sensory transduction
Apply psychophysical methods
Describe theories of perception</t>
  </si>
  <si>
    <t xml:space="preserve">CAS PS 336</t>
  </si>
  <si>
    <t xml:space="preserve">Introduction to Cognitive Psychology</t>
  </si>
  <si>
    <t xml:space="preserve">Cognitive psychology: attention, memory, categorisation, language, problem solving, reasoning and decision making.</t>
  </si>
  <si>
    <t xml:space="preserve">Describe models of memory and attention
Evaluate cognitive experiments
Apply cognitive principles</t>
  </si>
  <si>
    <t xml:space="preserve">CAS PS 241</t>
  </si>
  <si>
    <t xml:space="preserve">Developmental Psychology</t>
  </si>
  <si>
    <t xml:space="preserve">Developmental psychology from infancy through adolescence: physical, cognitive, language, social and emotional development, and research methods for studying children.</t>
  </si>
  <si>
    <t xml:space="preserve">Describe developmental milestones
Compare developmental theories
Evaluate developmental research</t>
  </si>
  <si>
    <t xml:space="preserve">CAS PS 251</t>
  </si>
  <si>
    <t xml:space="preserve">Psychology of Personality: Theories and Application</t>
  </si>
  <si>
    <t xml:space="preserve">Theories of personality: psychodynamic, trait, humanistic, social-cognitive and biological approaches, with personality assessment and applications.</t>
  </si>
  <si>
    <t xml:space="preserve">Compare personality theories
Evaluate personality assessments
Apply theories to case studies</t>
  </si>
  <si>
    <t xml:space="preserve">CAS PS 261</t>
  </si>
  <si>
    <t xml:space="preserve">Social Psychology</t>
  </si>
  <si>
    <t xml:space="preserve">Social psychology: social cognition, attitudes, persuasion, conformity, group processes, prejudice, aggression and prosocial behaviour.</t>
  </si>
  <si>
    <t xml:space="preserve">Explain core social-psychology phenomena
Evaluate classic studies
Apply concepts to real situations</t>
  </si>
  <si>
    <t xml:space="preserve">CAS PS 371</t>
  </si>
  <si>
    <t xml:space="preserve">Psychopathology</t>
  </si>
  <si>
    <t xml:space="preserve">Psychopathology: classification, causes and treatment of psychological disorders, including anxiety, mood, psychotic and personality disorders.</t>
  </si>
  <si>
    <t xml:space="preserve">Describe major disorders
Compare causal models
Evaluate treatment approaches</t>
  </si>
  <si>
    <t xml:space="preserve">CAS BI 107</t>
  </si>
  <si>
    <t xml:space="preserve">Biology 1</t>
  </si>
  <si>
    <t xml:space="preserve">Biology</t>
  </si>
  <si>
    <t xml:space="preserve">First-semester introductory biology with laboratory: chemistry of life, cell structure, metabolism, cell division, Mendelian and molecular genetics.</t>
  </si>
  <si>
    <t xml:space="preserve">Explain cell structure and function
Describe metabolism and genetics
Conduct and report basic lab experiments</t>
  </si>
  <si>
    <t xml:space="preserve">CAS BI 108</t>
  </si>
  <si>
    <t xml:space="preserve">Biology 2</t>
  </si>
  <si>
    <t xml:space="preserve">Second-semester introductory biology with laboratory: evolution, biodiversity, organismal physiology and ecology.</t>
  </si>
  <si>
    <t xml:space="preserve">Explain evolutionary mechanisms
Compare organism systems
Analyse ecological interactions</t>
  </si>
  <si>
    <t xml:space="preserve">CAS BI 203</t>
  </si>
  <si>
    <t xml:space="preserve">Cell Biology</t>
  </si>
  <si>
    <t xml:space="preserve">Cell biology: membranes, organelles, protein trafficking, cytoskeleton, cell signalling, cell cycle and cell death.</t>
  </si>
  <si>
    <t xml:space="preserve">Explain cellular processes
Interpret experimental cell-biology data
Relate cell function to disease</t>
  </si>
  <si>
    <t xml:space="preserve">CAS BI 206</t>
  </si>
  <si>
    <t xml:space="preserve">Genetics</t>
  </si>
  <si>
    <t xml:space="preserve">Genetics: Mendelian inheritance, linkage and mapping, chromosomes, gene regulation, mutation, population genetics and genomic methods.</t>
  </si>
  <si>
    <t xml:space="preserve">Solve genetics problems
Explain gene regulation
Interpret genomic data</t>
  </si>
  <si>
    <t xml:space="preserve">CAS CH 101</t>
  </si>
  <si>
    <t xml:space="preserve">General Chemistry 1</t>
  </si>
  <si>
    <t xml:space="preserve">General chemistry I with laboratory: atomic structure, periodic trends, bonding, stoichiometry, gases, thermochemistry and solutions.</t>
  </si>
  <si>
    <t xml:space="preserve">Solve stoichiometry problems
Explain bonding and periodic trends
Perform quantitative lab work</t>
  </si>
  <si>
    <t xml:space="preserve">CAS CH 102</t>
  </si>
  <si>
    <t xml:space="preserve">General Chemistry 2</t>
  </si>
  <si>
    <t xml:space="preserve">General chemistry II with laboratory: kinetics, equilibrium, acids and bases, thermodynamics and electrochemistry.</t>
  </si>
  <si>
    <t xml:space="preserve">Solve equilibrium and kinetics problems
Explain thermodynamic principles
Perform titrations and analyses</t>
  </si>
  <si>
    <t xml:space="preserve">CAS CH 203</t>
  </si>
  <si>
    <t xml:space="preserve">Organic Chemistry 1</t>
  </si>
  <si>
    <t xml:space="preserve">Organic chemistry I with laboratory: structure and bonding, stereochemistry, nomenclature, substitution and elimination reactions, alkenes and alkynes.</t>
  </si>
  <si>
    <t xml:space="preserve">Draw and name organic structures
Predict reaction mechanisms
Perform organic lab techniques</t>
  </si>
  <si>
    <t xml:space="preserve">CAS CH 204</t>
  </si>
  <si>
    <t xml:space="preserve">Organic Chemistry 2</t>
  </si>
  <si>
    <t xml:space="preserve">Organic chemistry II with laboratory: aromatic compounds, carbonyl chemistry, spectroscopy, multistep synthesis and biomolecules.</t>
  </si>
  <si>
    <t xml:space="preserve">Predict carbonyl and aromatic reactions
Interpret NMR and IR spectra
Plan multistep syntheses</t>
  </si>
  <si>
    <t xml:space="preserve">CAS MA 123</t>
  </si>
  <si>
    <t xml:space="preserve">Calculus I</t>
  </si>
  <si>
    <t xml:space="preserve">Mathematics</t>
  </si>
  <si>
    <t xml:space="preserve">Differential calculus: limits, continuity, derivatives and their applications, and an introduction to integration.</t>
  </si>
  <si>
    <t xml:space="preserve">Compute limits and derivatives
Apply derivatives to optimisation and related rates
Evaluate basic integrals</t>
  </si>
  <si>
    <t xml:space="preserve">CAS MA 124</t>
  </si>
  <si>
    <t xml:space="preserve">Calculus II</t>
  </si>
  <si>
    <t xml:space="preserve">Integral calculus: techniques of integration, applications of integrals, sequences and series, and power series.</t>
  </si>
  <si>
    <t xml:space="preserve">Apply integration techniques
Determine convergence of series
Use power series</t>
  </si>
  <si>
    <t xml:space="preserve">CAS MA 225</t>
  </si>
  <si>
    <t xml:space="preserve">Multivariate Calculus</t>
  </si>
  <si>
    <t xml:space="preserve">Multivariable calculus: vectors, partial derivatives, multiple integrals, and vector calculus (Green's, Stokes' and divergence theorems).</t>
  </si>
  <si>
    <t xml:space="preserve">Compute partial derivatives and multiple integrals
Apply vector-calculus theorems
Solve multivariable optimisation problems</t>
  </si>
  <si>
    <t xml:space="preserve">CAS MA 242</t>
  </si>
  <si>
    <t xml:space="preserve">Linear Algebra</t>
  </si>
  <si>
    <t xml:space="preserve">Linear algebra: systems of linear equations, matrices, vector spaces, linear transformations, determinants, eigenvalues and orthogonality.</t>
  </si>
  <si>
    <t xml:space="preserve">Solve linear systems
Work with vector spaces and transformations
Compute eigenvalues and eigenvectors</t>
  </si>
  <si>
    <t xml:space="preserve">CAS MA 226</t>
  </si>
  <si>
    <t xml:space="preserve">Differential Equations</t>
  </si>
  <si>
    <t xml:space="preserve">Ordinary differential equations: first-order equations, linear higher-order equations, systems, Laplace transforms and applications.</t>
  </si>
  <si>
    <t xml:space="preserve">Solve first- and higher-order ODEs
Use Laplace transforms
Model physical systems with ODEs</t>
  </si>
  <si>
    <t xml:space="preserve">CAS MA 293</t>
  </si>
  <si>
    <t xml:space="preserve">Discrete Mathematics</t>
  </si>
  <si>
    <t xml:space="preserve">Discrete mathematics: logic, proof techniques, sets, functions, relations, combinatorics, graph theory and elementary number theory.</t>
  </si>
  <si>
    <t xml:space="preserve">Write rigorous proofs
Solve combinatorial problems
Apply graph theory and number theory</t>
  </si>
  <si>
    <t xml:space="preserve">CAS MA 581</t>
  </si>
  <si>
    <t xml:space="preserve">Probability</t>
  </si>
  <si>
    <t xml:space="preserve">Calculus-based probability: axioms, conditional probability, discrete and continuous random variables, joint distributions, expectation, limit theorems.</t>
  </si>
  <si>
    <t xml:space="preserve">Compute probabilities with calculus
Work with joint distributions
Apply limit theorems</t>
  </si>
  <si>
    <t xml:space="preserve">CS 2000</t>
  </si>
  <si>
    <t xml:space="preserve">Introduction to Program Design and Implementation</t>
  </si>
  <si>
    <t xml:space="preserve">CS 2100</t>
  </si>
  <si>
    <t xml:space="preserve">Program Design and Implementation 1</t>
  </si>
  <si>
    <t xml:space="preserve">Systematic program design using design recipes, data definitions and test-first development. Emphasises functional decomposition and abstraction; lists and trees are introduced as data, but asymptotic analysis and hash tables are not covered.</t>
  </si>
  <si>
    <t xml:space="preserve">Design programs from data definitions
Write tests before code
Use abstraction to remove duplication</t>
  </si>
  <si>
    <t xml:space="preserve">CS 3100</t>
  </si>
  <si>
    <t xml:space="preserve">Program Design and Implementation 2</t>
  </si>
  <si>
    <t xml:space="preserve">Object-oriented program design: classes, interfaces, inheritance, generics, common design patterns and team software projects with unit testing.</t>
  </si>
  <si>
    <t xml:space="preserve">Design class hierarchies
Apply common design patterns
Deliver a tested multi-module project</t>
  </si>
  <si>
    <t xml:space="preserve">CS 1800</t>
  </si>
  <si>
    <t xml:space="preserve">Discrete Structures</t>
  </si>
  <si>
    <t xml:space="preserve">CS 2700</t>
  </si>
  <si>
    <t xml:space="preserve">Data Structures and Analysis</t>
  </si>
  <si>
    <t xml:space="preserve">Data structures with formal analysis: lists, trees, balanced search trees, heaps, hash tables and graphs, with proofs of running time and an introduction to amortised analysis. Includes a weekly lab.</t>
  </si>
  <si>
    <t xml:space="preserve">Implement and analyse data structures
Prove running-time bounds
Choose structures for performance requirements</t>
  </si>
  <si>
    <t xml:space="preserve">CS 3000</t>
  </si>
  <si>
    <t xml:space="preserve">Algorithms and Data</t>
  </si>
  <si>
    <t xml:space="preserve">CS 3650</t>
  </si>
  <si>
    <t xml:space="preserve">CS 3800</t>
  </si>
  <si>
    <t xml:space="preserve">Theory of Computation</t>
  </si>
  <si>
    <t xml:space="preserve">CS 4400</t>
  </si>
  <si>
    <t xml:space="preserve">Programming Languages</t>
  </si>
  <si>
    <t xml:space="preserve">CS 2800</t>
  </si>
  <si>
    <t xml:space="preserve">Logic and Computation</t>
  </si>
  <si>
    <t xml:space="preserve">Logic and computation: formal logic, specification and reasoning about programs, and mechanised theorem proving.</t>
  </si>
  <si>
    <t xml:space="preserve">Write formal specifications
Prove program properties
Use a theorem prover</t>
  </si>
  <si>
    <t xml:space="preserve">DS 3000</t>
  </si>
  <si>
    <t xml:space="preserve">Mathematical Foundations of Artificial Intelligence</t>
  </si>
  <si>
    <t xml:space="preserve">Mathematical foundations of artificial intelligence: linear algebra, probability, optimisation and statistics as used in machine learning.</t>
  </si>
  <si>
    <t xml:space="preserve">Apply linear algebra and probability to ML problems
Formulate optimisation problems
Interpret statistical models</t>
  </si>
  <si>
    <t xml:space="preserve">ECON 1116</t>
  </si>
  <si>
    <t xml:space="preserve">Principles of Microeconomics</t>
  </si>
  <si>
    <t xml:space="preserve">ECON 1115</t>
  </si>
  <si>
    <t xml:space="preserve">Principles of Macroeconomics</t>
  </si>
  <si>
    <t xml:space="preserve">ECON 2316</t>
  </si>
  <si>
    <t xml:space="preserve">Microeconomic Theory</t>
  </si>
  <si>
    <t xml:space="preserve">ECON 2315</t>
  </si>
  <si>
    <t xml:space="preserve">Macroeconomic Theory</t>
  </si>
  <si>
    <t xml:space="preserve">ECON 2350</t>
  </si>
  <si>
    <t xml:space="preserve">Statistics for Economists</t>
  </si>
  <si>
    <t xml:space="preserve">ECON 2560</t>
  </si>
  <si>
    <t xml:space="preserve">Applied Econometrics</t>
  </si>
  <si>
    <t xml:space="preserve">Applied regression with economic data: multiple regression, dummy variables and basic diagnostics. Emphasises software use and interpretation; instrumental variables and panel methods are introduced only briefly.</t>
  </si>
  <si>
    <t xml:space="preserve">Run and interpret regressions in software
Diagnose common problems
Present empirical results</t>
  </si>
  <si>
    <t xml:space="preserve">PSYC 1101</t>
  </si>
  <si>
    <t xml:space="preserve">Foundations of Psychology</t>
  </si>
  <si>
    <t xml:space="preserve">PSYC 2320</t>
  </si>
  <si>
    <t xml:space="preserve">Statistics in Psychological Research</t>
  </si>
  <si>
    <t xml:space="preserve">Descriptive and inferential statistics for the behavioural sciences: distributions, correlation, t-tests, ANOVA and chi-square. Does not include designing experiments or writing lab reports.</t>
  </si>
  <si>
    <t xml:space="preserve">Compute and interpret descriptive statistics
Select and run inferential tests
Interpret statistical output</t>
  </si>
  <si>
    <t xml:space="preserve">PSYC 3458</t>
  </si>
  <si>
    <t xml:space="preserve">Biological Psychology</t>
  </si>
  <si>
    <t xml:space="preserve">PSYC 3402</t>
  </si>
  <si>
    <t xml:space="preserve">PSYC 3404</t>
  </si>
  <si>
    <t xml:space="preserve">PSYC 3464</t>
  </si>
  <si>
    <t xml:space="preserve">Psychology of Language</t>
  </si>
  <si>
    <t xml:space="preserve">Psychology of language: speech perception, word recognition, sentence processing, language acquisition and the relation of language to thought.</t>
  </si>
  <si>
    <t xml:space="preserve">Explain language-processing models
Describe language acquisition
Evaluate psycholinguistic studies</t>
  </si>
  <si>
    <t xml:space="preserve">BIOL 1107</t>
  </si>
  <si>
    <t xml:space="preserve">Foundations of Biology</t>
  </si>
  <si>
    <t xml:space="preserve">BIOL 1113</t>
  </si>
  <si>
    <t xml:space="preserve">General Biology 2</t>
  </si>
  <si>
    <t xml:space="preserve">BIOL 2299</t>
  </si>
  <si>
    <t xml:space="preserve">Inquiries in Biological Sciences</t>
  </si>
  <si>
    <t xml:space="preserve">Inquiry-based course on how biological research is done: hypothesis generation, experimental design, data analysis and scientific writing.</t>
  </si>
  <si>
    <t xml:space="preserve">Design a biological experiment
Analyse biological data
Write a scientific report</t>
  </si>
  <si>
    <t xml:space="preserve">BIOL 2301</t>
  </si>
  <si>
    <t xml:space="preserve">Genetics and Molecular Biology</t>
  </si>
  <si>
    <t xml:space="preserve">Genetics and molecular biology combined: inheritance, DNA replication, transcription, translation, gene regulation and recombinant DNA techniques, with a laboratory.</t>
  </si>
  <si>
    <t xml:space="preserve">Solve inheritance problems
Explain molecular processes
Perform molecular lab techniques</t>
  </si>
  <si>
    <t xml:space="preserve">BIOL 3611</t>
  </si>
  <si>
    <t xml:space="preserve">Biochemistry</t>
  </si>
  <si>
    <t xml:space="preserve">Biochemistry with laboratory: protein structure, enzymes, metabolism and bioenergetics.</t>
  </si>
  <si>
    <t xml:space="preserve">Explain protein structure and enzyme kinetics
Describe metabolic pathways
Perform biochemical assays</t>
  </si>
  <si>
    <t xml:space="preserve">CHEM 1161</t>
  </si>
  <si>
    <t xml:space="preserve">General Chemistry for Science Majors</t>
  </si>
  <si>
    <t xml:space="preserve">Accelerated one-semester general chemistry with laboratory and recitation for students with strong high-school chemistry. Covers the core of a two-semester sequence (structure, bonding, stoichiometry, equilibrium, kinetics, thermodynamics) at a faster pace with less depth in electrochemistry.</t>
  </si>
  <si>
    <t xml:space="preserve">Solve general-chemistry problems across the full sequence
Explain equilibrium and thermodynamics
Perform quantitative lab work</t>
  </si>
  <si>
    <t xml:space="preserve">CHEM 2311</t>
  </si>
  <si>
    <t xml:space="preserve">CHEM 2313</t>
  </si>
  <si>
    <t xml:space="preserve">MATH 1341</t>
  </si>
  <si>
    <t xml:space="preserve">Calculus 1 for Science and Engineering</t>
  </si>
  <si>
    <t xml:space="preserve">MATH 1342</t>
  </si>
  <si>
    <t xml:space="preserve">Calculus 2 for Science and Engineering</t>
  </si>
  <si>
    <t xml:space="preserve">MATH 2321</t>
  </si>
  <si>
    <t xml:space="preserve">Calculus 3 for Science and Engineering</t>
  </si>
  <si>
    <t xml:space="preserve">MATH 2331</t>
  </si>
  <si>
    <t xml:space="preserve">MATH 2341</t>
  </si>
  <si>
    <t xml:space="preserve">Differential Equations and Linear Algebra for Engineering</t>
  </si>
  <si>
    <t xml:space="preserve">Combined differential equations and linear algebra for engineering: matrix methods, eigenvalues, first-order and linear ODEs and systems. Each topic receives about half the depth of a dedicated course.</t>
  </si>
  <si>
    <t xml:space="preserve">Solve linear systems and ODEs
Use eigenvalues to solve systems of ODEs
Apply methods to engineering models</t>
  </si>
  <si>
    <t xml:space="preserve">MATH 1365</t>
  </si>
  <si>
    <t xml:space="preserve">Introduction to Mathematical Reasoning</t>
  </si>
  <si>
    <t xml:space="preserve">Introduction to mathematical reasoning and proof: logic, sets, functions, relations and elementary number theory. Combinatorics and graph theory are not covered in depth.</t>
  </si>
  <si>
    <t xml:space="preserve">Write clear proofs
Use logic and set notation
Prove basic number-theory results</t>
  </si>
  <si>
    <t xml:space="preserve">MATH 3081</t>
  </si>
  <si>
    <t xml:space="preserve">Probability and Statistics</t>
  </si>
  <si>
    <t xml:space="preserve">Probability and statistics: probability models, random variables, sampling distributions, estimation and hypothesis testing. Probability theory is covered in less depth than a dedicated course.</t>
  </si>
  <si>
    <t xml:space="preserve">Compute probabilities
Estimate parameters
Conduct hypothesis tests</t>
  </si>
  <si>
    <t xml:space="preserve">CSCI-UA 101</t>
  </si>
  <si>
    <t xml:space="preserve">Intro to Computer Science</t>
  </si>
  <si>
    <t xml:space="preserve">CSCI-UA 102</t>
  </si>
  <si>
    <t xml:space="preserve">Data Structures</t>
  </si>
  <si>
    <t xml:space="preserve">CSCI-UA 201</t>
  </si>
  <si>
    <t xml:space="preserve">Computer Systems Organization</t>
  </si>
  <si>
    <t xml:space="preserve">CSCI-UA 202</t>
  </si>
  <si>
    <t xml:space="preserve">Operating Systems</t>
  </si>
  <si>
    <t xml:space="preserve">Operating systems: processes and threads, CPU scheduling, synchronisation, memory management and virtual memory, and file systems, with kernel programming projects.</t>
  </si>
  <si>
    <t xml:space="preserve">Explain OS abstractions
Implement synchronisation primitives
Build components of a small kernel</t>
  </si>
  <si>
    <t xml:space="preserve">CSCI-UA 310</t>
  </si>
  <si>
    <t xml:space="preserve">Basic Algorithms</t>
  </si>
  <si>
    <t xml:space="preserve">CSCI-UA 453</t>
  </si>
  <si>
    <t xml:space="preserve">MATH-UA 120</t>
  </si>
  <si>
    <t xml:space="preserve">ECON-UA 2</t>
  </si>
  <si>
    <t xml:space="preserve">Introduction to Microeconomics</t>
  </si>
  <si>
    <t xml:space="preserve">ECON-UA 1</t>
  </si>
  <si>
    <t xml:space="preserve">Introduction to Macroeconomics</t>
  </si>
  <si>
    <t xml:space="preserve">ECON-UA 10</t>
  </si>
  <si>
    <t xml:space="preserve">Intermediate Microeconomics</t>
  </si>
  <si>
    <t xml:space="preserve">ECON-UA 12</t>
  </si>
  <si>
    <t xml:space="preserve">Intermediate Macroeconomics</t>
  </si>
  <si>
    <t xml:space="preserve">ECON-UA 18</t>
  </si>
  <si>
    <t xml:space="preserve">Statistics</t>
  </si>
  <si>
    <t xml:space="preserve">ECON-UA 266</t>
  </si>
  <si>
    <t xml:space="preserve">Intro to Econometrics</t>
  </si>
  <si>
    <t xml:space="preserve">PSYCH-UA 1</t>
  </si>
  <si>
    <t xml:space="preserve">Intro to Psychology</t>
  </si>
  <si>
    <t xml:space="preserve">PSYCH-UA 10</t>
  </si>
  <si>
    <t xml:space="preserve">Statistics for the Behavioral Sciences</t>
  </si>
  <si>
    <t xml:space="preserve">PSYCH-UA 11</t>
  </si>
  <si>
    <t xml:space="preserve">Statistics and Data Analysis for Research in Psychology</t>
  </si>
  <si>
    <t xml:space="preserve">PSYCH-UA 22</t>
  </si>
  <si>
    <t xml:space="preserve">Perception</t>
  </si>
  <si>
    <t xml:space="preserve">PSYCH-UA 25</t>
  </si>
  <si>
    <t xml:space="preserve">Cognitive Neuroscience</t>
  </si>
  <si>
    <t xml:space="preserve">Cognitive neuroscience: the brain basis of perception, attention, memory, language and decision making, using imaging, lesion and electrophysiology evidence. Neurotransmission and hormones receive limited coverage.</t>
  </si>
  <si>
    <t xml:space="preserve">Interpret neuroimaging evidence
Relate cognitive functions to brain networks
Critique cognitive-neuroscience studies</t>
  </si>
  <si>
    <t xml:space="preserve">PSYCH-UA 29</t>
  </si>
  <si>
    <t xml:space="preserve">Cognition</t>
  </si>
  <si>
    <t xml:space="preserve">PSYCH-UA 30</t>
  </si>
  <si>
    <t xml:space="preserve">Personality</t>
  </si>
  <si>
    <t xml:space="preserve">PSYCH-UA 32</t>
  </si>
  <si>
    <t xml:space="preserve">PSYCH-UA 34</t>
  </si>
  <si>
    <t xml:space="preserve">PSYCH-UA 51</t>
  </si>
  <si>
    <t xml:space="preserve">Abnormal Psychology</t>
  </si>
  <si>
    <t xml:space="preserve">BIOL-UA 11</t>
  </si>
  <si>
    <t xml:space="preserve">Principles of Biology I</t>
  </si>
  <si>
    <t xml:space="preserve">BIOL-UA 12</t>
  </si>
  <si>
    <t xml:space="preserve">Principles of Biology II</t>
  </si>
  <si>
    <t xml:space="preserve">BIOL-UA 21</t>
  </si>
  <si>
    <t xml:space="preserve">Molecular and Cell Biology I</t>
  </si>
  <si>
    <t xml:space="preserve">Molecular and cell biology: DNA, gene expression, membranes, organelles, signalling and the cell cycle, integrating molecular and cellular levels.</t>
  </si>
  <si>
    <t xml:space="preserve">Explain gene expression
Describe cellular processes
Integrate molecular and cellular data</t>
  </si>
  <si>
    <t xml:space="preserve">BIOL-UA 30</t>
  </si>
  <si>
    <t xml:space="preserve">CHEM-UA 125</t>
  </si>
  <si>
    <t xml:space="preserve">General Chemistry I</t>
  </si>
  <si>
    <t xml:space="preserve">CHEM-UA 126</t>
  </si>
  <si>
    <t xml:space="preserve">General Chemistry II</t>
  </si>
  <si>
    <t xml:space="preserve">CHEM-UA 225</t>
  </si>
  <si>
    <t xml:space="preserve">Organic Chemistry I</t>
  </si>
  <si>
    <t xml:space="preserve">CHEM-UA 226</t>
  </si>
  <si>
    <t xml:space="preserve">Organic Chemistry II</t>
  </si>
  <si>
    <t xml:space="preserve">MATH-UA 121</t>
  </si>
  <si>
    <t xml:space="preserve">MATH-UA 122</t>
  </si>
  <si>
    <t xml:space="preserve">MATH-UA 123</t>
  </si>
  <si>
    <t xml:space="preserve">Calculus III</t>
  </si>
  <si>
    <t xml:space="preserve">MATH-UA 140</t>
  </si>
  <si>
    <t xml:space="preserve">MATH-UA 262</t>
  </si>
  <si>
    <t xml:space="preserve">Ordinary Differential Equations</t>
  </si>
  <si>
    <t xml:space="preserve">MATH-UA 233</t>
  </si>
  <si>
    <t xml:space="preserve">Theory of Probability</t>
  </si>
  <si>
    <t xml:space="preserve">MATH-UA 235</t>
  </si>
  <si>
    <t xml:space="preserve">Probability &amp; Statistics</t>
  </si>
  <si>
    <t xml:space="preserve">CSC 110</t>
  </si>
  <si>
    <t xml:space="preserve">Introduction to Programming (Python)</t>
  </si>
  <si>
    <t xml:space="preserve">CSC 120</t>
  </si>
  <si>
    <t xml:space="preserve">Computer Applications</t>
  </si>
  <si>
    <t xml:space="preserve">Computer applications for the workplace: word processing, spreadsheets, presentations and basic database use. No programming.</t>
  </si>
  <si>
    <t xml:space="preserve">Produce documents and spreadsheets
Use basic database queries
Prepare presentations</t>
  </si>
  <si>
    <t xml:space="preserve">CSC 215</t>
  </si>
  <si>
    <t xml:space="preserve">Data Structures in Java</t>
  </si>
  <si>
    <t xml:space="preserve">MAT 090</t>
  </si>
  <si>
    <t xml:space="preserve">Developmental Algebra</t>
  </si>
  <si>
    <t xml:space="preserve">Developmental (pre-college) algebra: arithmetic review, linear equations, exponents and polynomials. Does not carry credit toward an associate degree.</t>
  </si>
  <si>
    <t xml:space="preserve">Solve linear equations
Manipulate polynomials
Prepare for college algebra</t>
  </si>
  <si>
    <t xml:space="preserve">MAT 140</t>
  </si>
  <si>
    <t xml:space="preserve">Precalculus</t>
  </si>
  <si>
    <t xml:space="preserve">Precalculus: functions, polynomial, rational, exponential, logarithmic and trigonometric functions in preparation for calculus.</t>
  </si>
  <si>
    <t xml:space="preserve">Analyse functions and graphs
Solve exponential and trig equations
Prepare for calculus</t>
  </si>
  <si>
    <t xml:space="preserve">MAT 151</t>
  </si>
  <si>
    <t xml:space="preserve">MAT 152</t>
  </si>
  <si>
    <t xml:space="preserve">MAT 210</t>
  </si>
  <si>
    <t xml:space="preserve">Discrete mathematics for computer science majors (3 credits): logic, sets, proof techniques including induction, functions and relations, basic counting (permutations and combinations) and an introduction to graphs and trees. Recurrence relations and discrete probability are not covered.</t>
  </si>
  <si>
    <t xml:space="preserve">Write proofs, including induction
Solve basic counting problems
Describe graphs and trees</t>
  </si>
  <si>
    <t xml:space="preserve">MAT 220</t>
  </si>
  <si>
    <t xml:space="preserve">STA 150</t>
  </si>
  <si>
    <t xml:space="preserve">Elementary Statistics</t>
  </si>
  <si>
    <t xml:space="preserve">Elementary (non-calculus) statistics: descriptive statistics, probability, normal distribution, confidence intervals and hypothesis tests.</t>
  </si>
  <si>
    <t xml:space="preserve">Summarise data
Construct confidence intervals
Perform hypothesis tests</t>
  </si>
  <si>
    <t xml:space="preserve">ENG 101</t>
  </si>
  <si>
    <t xml:space="preserve">English Composition I</t>
  </si>
  <si>
    <t xml:space="preserve">English</t>
  </si>
  <si>
    <t xml:space="preserve">English composition I: academic writing, the writing process, argument and the use of sources.</t>
  </si>
  <si>
    <t xml:space="preserve">Write organised academic essays
Build evidence-based arguments
Cite sources correctly</t>
  </si>
  <si>
    <t xml:space="preserve">ENG 102</t>
  </si>
  <si>
    <t xml:space="preserve">English Composition II</t>
  </si>
  <si>
    <t xml:space="preserve">English composition II: research writing, analysis of texts and a documented research paper.</t>
  </si>
  <si>
    <t xml:space="preserve">Conduct library research
Write a documented research paper
Analyse texts critically</t>
  </si>
  <si>
    <t xml:space="preserve">ECO 201</t>
  </si>
  <si>
    <t xml:space="preserve">ECO 202</t>
  </si>
  <si>
    <t xml:space="preserve">PSY 101</t>
  </si>
  <si>
    <t xml:space="preserve">Introduction to Psychology</t>
  </si>
  <si>
    <t xml:space="preserve">PSY 210</t>
  </si>
  <si>
    <t xml:space="preserve">Lifespan Development</t>
  </si>
  <si>
    <t xml:space="preserve">Human development across the lifespan from conception to late adulthood, with a broad survey of physical, cognitive and social change. Child and adolescent development receive about a third of the course.</t>
  </si>
  <si>
    <t xml:space="preserve">Describe change across the lifespan
Compare developmental theories
Apply concepts to life stages</t>
  </si>
  <si>
    <t xml:space="preserve">BIO 121</t>
  </si>
  <si>
    <t xml:space="preserve">General Biology I</t>
  </si>
  <si>
    <t xml:space="preserve">BIO 122</t>
  </si>
  <si>
    <t xml:space="preserve">General Biology II</t>
  </si>
  <si>
    <t xml:space="preserve">CHM 121</t>
  </si>
  <si>
    <t xml:space="preserve">Chemistry</t>
  </si>
  <si>
    <t xml:space="preserve">CHM 122</t>
  </si>
  <si>
    <t xml:space="preserve">HIS 111</t>
  </si>
  <si>
    <t xml:space="preserve">U.S. History I</t>
  </si>
  <si>
    <t xml:space="preserve">History</t>
  </si>
  <si>
    <t xml:space="preserve">United States history to 1877: colonial era, revolution, early republic, expansion, Civil War and Reconstruction.</t>
  </si>
  <si>
    <t xml:space="preserve">Describe major events and themes
Analyse primary sources
Write historical arguments</t>
  </si>
  <si>
    <t xml:space="preserve">HSP 101</t>
  </si>
  <si>
    <t xml:space="preserve">Introduction to Hospitality Management</t>
  </si>
  <si>
    <t xml:space="preserve">Hospitality</t>
  </si>
  <si>
    <t xml:space="preserve">Introduction to the hospitality industry: hotel, restaurant and tourism operations, customer service and career paths. Career-technical course.</t>
  </si>
  <si>
    <t xml:space="preserve">Describe hospitality operations
Apply customer-service principles
Explore industry careers</t>
  </si>
  <si>
    <t xml:space="preserve">COM 105</t>
  </si>
  <si>
    <t xml:space="preserve">Public Speaking</t>
  </si>
  <si>
    <t xml:space="preserve">Communication</t>
  </si>
  <si>
    <t xml:space="preserve">Public speaking: speech preparation, organisation, delivery, persuasive speaking and audience analysis.</t>
  </si>
  <si>
    <t xml:space="preserve">Prepare and deliver speeches
Use persuasive techniques
Analyse audiences</t>
  </si>
  <si>
    <t xml:space="preserve">CSE 142</t>
  </si>
  <si>
    <t xml:space="preserve">Computer Programming I</t>
  </si>
  <si>
    <t xml:space="preserve">First quarter of a two-quarter introductory programming sequence (Java): variables, control flow, methods, arrays and simple classes.</t>
  </si>
  <si>
    <t xml:space="preserve">Write small programs
Use methods and arrays
Create simple classes</t>
  </si>
  <si>
    <t xml:space="preserve">CSE 143</t>
  </si>
  <si>
    <t xml:space="preserve">Computer Programming II</t>
  </si>
  <si>
    <t xml:space="preserve">Second quarter of the introductory programming sequence (Java): recursion, inheritance, interfaces, linked lists, stacks, queues and an introduction to binary trees.</t>
  </si>
  <si>
    <t xml:space="preserve">Use recursion and inheritance
Implement linked structures
Write medium-sized programs</t>
  </si>
  <si>
    <t xml:space="preserve">CSE 373</t>
  </si>
  <si>
    <t xml:space="preserve">Data Structures and Algorithms</t>
  </si>
  <si>
    <t xml:space="preserve">Data structures and algorithms (one quarter): asymptotic analysis, hash tables, balanced trees, heaps, graphs, sorting and basic graph algorithms.</t>
  </si>
  <si>
    <t xml:space="preserve">Analyse algorithms with Big-O
Implement hash tables, heaps and graphs
Apply sorting and graph algorithms</t>
  </si>
  <si>
    <t xml:space="preserve">MATH 124</t>
  </si>
  <si>
    <t xml:space="preserve">Calculus I (quarter): limits, derivatives and applications of differentiation.</t>
  </si>
  <si>
    <t xml:space="preserve">Compute limits and derivatives
Apply derivatives to optimisation</t>
  </si>
  <si>
    <t xml:space="preserve">MATH 125</t>
  </si>
  <si>
    <t xml:space="preserve">Calculus II (quarter): the definite integral, techniques of integration and applications.</t>
  </si>
  <si>
    <t xml:space="preserve">Evaluate integrals
Apply integration techniques</t>
  </si>
  <si>
    <t xml:space="preserve">MATH 126</t>
  </si>
  <si>
    <t xml:space="preserve">Calculus III (quarter): sequences, series, power series and an introduction to vectors and partial derivatives.</t>
  </si>
  <si>
    <t xml:space="preserve">Determine convergence of series
Use power series
Compute basic partial derivatives</t>
  </si>
  <si>
    <t xml:space="preserve">MATH 208</t>
  </si>
  <si>
    <t xml:space="preserve">Matrix Algebra</t>
  </si>
  <si>
    <t xml:space="preserve">Matrix algebra (quarter, 3 credits): systems of linear equations, matrix operations, determinants and an introduction to eigenvalues. Abstract vector spaces are not covered.</t>
  </si>
  <si>
    <t xml:space="preserve">Solve linear systems
Perform matrix operations
Compute determinants and eigenvalues</t>
  </si>
  <si>
    <t xml:space="preserve">STAT 311</t>
  </si>
  <si>
    <t xml:space="preserve">Elements of Statistics</t>
  </si>
  <si>
    <t xml:space="preserve">ECON 200</t>
  </si>
  <si>
    <t xml:space="preserve">ECON 201</t>
  </si>
  <si>
    <t xml:space="preserve">PSYCH 101</t>
  </si>
  <si>
    <t xml:space="preserve">Psychology as a Science</t>
  </si>
  <si>
    <t xml:space="preserve">BIOL 180</t>
  </si>
  <si>
    <t xml:space="preserve">Introductory Biology I</t>
  </si>
  <si>
    <t xml:space="preserve">CHEM 142</t>
  </si>
  <si>
    <t xml:space="preserve">CHEM 237</t>
  </si>
  <si>
    <t xml:space="preserve">Organic chemistry I (quarter): bonding, structure, stereochemistry and an introduction to substitution reactions. Elimination reactions and alkenes are covered in the next quarter. Laboratory is a separate course.</t>
  </si>
  <si>
    <t xml:space="preserve">Draw organic structures
Explain stereochemistry
Predict substitution mechanisms</t>
  </si>
  <si>
    <t xml:space="preserve">Rule ID</t>
  </si>
  <si>
    <t xml:space="preserve">Rule</t>
  </si>
  <si>
    <t xml:space="preserve">Parameter</t>
  </si>
  <si>
    <t xml:space="preserve">Applies to</t>
  </si>
  <si>
    <t xml:space="preserve">Agent action</t>
  </si>
  <si>
    <t xml:space="preserve">Source</t>
  </si>
  <si>
    <t xml:space="preserve">R1</t>
  </si>
  <si>
    <t xml:space="preserve">Minimum grade</t>
  </si>
  <si>
    <t xml:space="preserve">C (C- or lower = no credit)</t>
  </si>
  <si>
    <t xml:space="preserve">All courses</t>
  </si>
  <si>
    <t xml:space="preserve">Set units to 0 and explain</t>
  </si>
  <si>
    <t xml:space="preserve">Problem statement (many BU schools)</t>
  </si>
  <si>
    <t xml:space="preserve">R2</t>
  </si>
  <si>
    <t xml:space="preserve">Quarter conversion</t>
  </si>
  <si>
    <t xml:space="preserve">× 2/3, truncate to 2 dp</t>
  </si>
  <si>
    <t xml:space="preserve">Quarter-system schools</t>
  </si>
  <si>
    <t xml:space="preserve">Convert units before posting</t>
  </si>
  <si>
    <t xml:space="preserve">Problem statement; truncation = assumption A1</t>
  </si>
  <si>
    <t xml:space="preserve">R3</t>
  </si>
  <si>
    <t xml:space="preserve">No Hub units</t>
  </si>
  <si>
    <t xml:space="preserve">0 Hub units</t>
  </si>
  <si>
    <t xml:space="preserve">All transfer courses</t>
  </si>
  <si>
    <t xml:space="preserve">Never award Hub units</t>
  </si>
  <si>
    <t xml:space="preserve">Problem statement</t>
  </si>
  <si>
    <t xml:space="preserve">R4</t>
  </si>
  <si>
    <t xml:space="preserve">Deadline</t>
  </si>
  <si>
    <t xml:space="preserve">365 days from BU start</t>
  </si>
  <si>
    <t xml:space="preserve">All transcripts</t>
  </si>
  <si>
    <t xml:space="preserve">Flag; posting needs an exception</t>
  </si>
  <si>
    <t xml:space="preserve">Problem statement; measurement = assumption A6</t>
  </si>
  <si>
    <t xml:space="preserve">R5</t>
  </si>
  <si>
    <t xml:space="preserve">External grades excluded from GPA</t>
  </si>
  <si>
    <t xml:space="preserve">Grade posted as T</t>
  </si>
  <si>
    <t xml:space="preserve">Post grade T</t>
  </si>
  <si>
    <t xml:space="preserve">R6</t>
  </si>
  <si>
    <t xml:space="preserve">CS Group C BU-only</t>
  </si>
  <si>
    <t xml:space="preserve">CAS CS 320, 332, 350</t>
  </si>
  <si>
    <t xml:space="preserve">BA Computer Science</t>
  </si>
  <si>
    <t xml:space="preserve">Elective credit only; requirement not satisfied</t>
  </si>
  <si>
    <t xml:space="preserve">Supplied workbook (Programs); assumption A3</t>
  </si>
  <si>
    <t xml:space="preserve">R7</t>
  </si>
  <si>
    <t xml:space="preserve">Economics 200+ cap</t>
  </si>
  <si>
    <t xml:space="preserve">Max 4 courses at 200+ level after matriculation</t>
  </si>
  <si>
    <t xml:space="preserve">BA Economics</t>
  </si>
  <si>
    <t xml:space="preserve">Hold the 5th and later; evaluator chooses</t>
  </si>
  <si>
    <t xml:space="preserve">Supplied workbook (Programs)</t>
  </si>
  <si>
    <t xml:space="preserve">R8</t>
  </si>
  <si>
    <t xml:space="preserve">Biology residency</t>
  </si>
  <si>
    <t xml:space="preserve">≥ 5 BI courses beyond BI 107/108 at BU</t>
  </si>
  <si>
    <t xml:space="preserve">BA Biology</t>
  </si>
  <si>
    <t xml:space="preserve">Warn when transfers would exceed the limit</t>
  </si>
  <si>
    <t xml:space="preserve">R9</t>
  </si>
  <si>
    <t xml:space="preserve">Pass/Fail</t>
  </si>
  <si>
    <t xml:space="preserve">Cannot confirm ≥ C</t>
  </si>
  <si>
    <t xml:space="preserve">Hold for evaluator</t>
  </si>
  <si>
    <t xml:space="preserve">Assumption A4</t>
  </si>
  <si>
    <t xml:space="preserve">R10</t>
  </si>
  <si>
    <t xml:space="preserve">Developmental courses</t>
  </si>
  <si>
    <t xml:space="preserve">No credit</t>
  </si>
  <si>
    <t xml:space="preserve">Pre-college courses</t>
  </si>
  <si>
    <t xml:space="preserve">Set units to 0</t>
  </si>
  <si>
    <t xml:space="preserve">Assumption A5</t>
  </si>
  <si>
    <t xml:space="preserve">R11</t>
  </si>
  <si>
    <t xml:space="preserve">Final decision</t>
  </si>
  <si>
    <t xml:space="preserve">Department evaluator</t>
  </si>
  <si>
    <t xml:space="preserve">All new matches</t>
  </si>
  <si>
    <t xml:space="preserve">Recommend only; never post a new equivalency automatically</t>
  </si>
  <si>
    <t xml:space="preserve">Problem statement (ground rule)</t>
  </si>
  <si>
    <t xml:space="preserve">Decision ID</t>
  </si>
  <si>
    <t xml:space="preserve">Decision date</t>
  </si>
  <si>
    <t xml:space="preserve">Source institution</t>
  </si>
  <si>
    <t xml:space="preserve">Source course</t>
  </si>
  <si>
    <t xml:space="preserve">Source title</t>
  </si>
  <si>
    <t xml:space="preserve">Source credits</t>
  </si>
  <si>
    <t xml:space="preserve">Outcome</t>
  </si>
  <si>
    <t xml:space="preserve">BU course awarded</t>
  </si>
  <si>
    <t xml:space="preserve">BU title</t>
  </si>
  <si>
    <t xml:space="preserve">BU units awarded</t>
  </si>
  <si>
    <t xml:space="preserve">Requirement satisfied</t>
  </si>
  <si>
    <t xml:space="preserve">Syllabus reviewed</t>
  </si>
  <si>
    <t xml:space="preserve">Department</t>
  </si>
  <si>
    <t xml:space="preserve">Evaluator ID</t>
  </si>
  <si>
    <t xml:space="preserve">Reusable</t>
  </si>
  <si>
    <t xml:space="preserve">Rationale</t>
  </si>
  <si>
    <t xml:space="preserve">D-001</t>
  </si>
  <si>
    <t xml:space="preserve">BU equivalent</t>
  </si>
  <si>
    <t xml:space="preserve">Yes</t>
  </si>
  <si>
    <t xml:space="preserve">CAS Psychological &amp; Brain Sciences</t>
  </si>
  <si>
    <t xml:space="preserve">EVAL-PSY-03</t>
  </si>
  <si>
    <t xml:space="preserve">Active</t>
  </si>
  <si>
    <t xml:space="preserve">Content and level align with CAS PS 261 (Social Psychology).</t>
  </si>
  <si>
    <t xml:space="preserve">D-002</t>
  </si>
  <si>
    <t xml:space="preserve">No</t>
  </si>
  <si>
    <t xml:space="preserve">EVAL-PSY-02</t>
  </si>
  <si>
    <t xml:space="preserve">Intro psychology. Meets PS 101.</t>
  </si>
  <si>
    <t xml:space="preserve">D-003</t>
  </si>
  <si>
    <t xml:space="preserve">CAS Economics</t>
  </si>
  <si>
    <t xml:space="preserve">EVAL-ECO-02</t>
  </si>
  <si>
    <t xml:space="preserve">Content and level align with CAS EC 201 (Intermediate Microeconomic Analysis).</t>
  </si>
  <si>
    <t xml:space="preserve">D-004</t>
  </si>
  <si>
    <t xml:space="preserve">CAS Mathematics &amp; Statistics</t>
  </si>
  <si>
    <t xml:space="preserve">EVAL-MAT-01</t>
  </si>
  <si>
    <t xml:space="preserve">Quarter calculus II (integration). Accepted for MA 124.</t>
  </si>
  <si>
    <t xml:space="preserve">D-005</t>
  </si>
  <si>
    <t xml:space="preserve">CAS Computer Science</t>
  </si>
  <si>
    <t xml:space="preserve">EVAL-COM-01</t>
  </si>
  <si>
    <t xml:space="preserve">Content and level align with CAS CS 111 (Introduction to Computer Science 1).</t>
  </si>
  <si>
    <t xml:space="preserve">D-006</t>
  </si>
  <si>
    <t xml:space="preserve">Elective credit</t>
  </si>
  <si>
    <t xml:space="preserve">CAS CS elective</t>
  </si>
  <si>
    <t xml:space="preserve">Comparable to CAS CS 332, but CS Group C courses must be taken at BU. Elective credit only.</t>
  </si>
  <si>
    <t xml:space="preserve">D-007</t>
  </si>
  <si>
    <t xml:space="preserve">EVAL-COM-02</t>
  </si>
  <si>
    <t xml:space="preserve">Content and level align with CAS CS 330 (Introduction to the Analysis of Algorithms).</t>
  </si>
  <si>
    <t xml:space="preserve">D-008</t>
  </si>
  <si>
    <t xml:space="preserve">Superseded</t>
  </si>
  <si>
    <t xml:space="preserve">2021 syllabus taught spreadsheet macros, not general programming. Superseded after course redesign.</t>
  </si>
  <si>
    <t xml:space="preserve">D-009</t>
  </si>
  <si>
    <t xml:space="preserve">CAS PS elective</t>
  </si>
  <si>
    <t xml:space="preserve">Lifespan survey; child/adolescent development is about one third of the course, below PS 241 depth.</t>
  </si>
  <si>
    <t xml:space="preserve">D-010</t>
  </si>
  <si>
    <t xml:space="preserve">EVAL-MAT-02</t>
  </si>
  <si>
    <t xml:space="preserve">Content and level align with CAS MA 123 (Calculus I).</t>
  </si>
  <si>
    <t xml:space="preserve">D-011</t>
  </si>
  <si>
    <t xml:space="preserve">CAS Biology</t>
  </si>
  <si>
    <t xml:space="preserve">EVAL-BIO-01</t>
  </si>
  <si>
    <t xml:space="preserve">Content and level align with CAS BI 107 (Biology 1).</t>
  </si>
  <si>
    <t xml:space="preserve">D-012</t>
  </si>
  <si>
    <t xml:space="preserve">EVAL-COM-03</t>
  </si>
  <si>
    <t xml:space="preserve">Syllabus confirms Python, recursion, dictionaries and intro to classes. Meets CS 111.</t>
  </si>
  <si>
    <t xml:space="preserve">D-013</t>
  </si>
  <si>
    <t xml:space="preserve">Earlier review before BU PS 371 was renamed. Superseded.</t>
  </si>
  <si>
    <t xml:space="preserve">D-014</t>
  </si>
  <si>
    <t xml:space="preserve">Content and level align with CAS EC 101 (Introductory Microeconomic Analysis).</t>
  </si>
  <si>
    <t xml:space="preserve">D-015</t>
  </si>
  <si>
    <t xml:space="preserve">Content and level align with CAS MA 225 (Multivariate Calculus).</t>
  </si>
  <si>
    <t xml:space="preserve">D-016</t>
  </si>
  <si>
    <t xml:space="preserve">Software-applications course with no programming; not comparable to BU coursework.</t>
  </si>
  <si>
    <t xml:space="preserve">D-017</t>
  </si>
  <si>
    <t xml:space="preserve">EVAL-PSY-01</t>
  </si>
  <si>
    <t xml:space="preserve">D-018</t>
  </si>
  <si>
    <t xml:space="preserve">CAS MA elective</t>
  </si>
  <si>
    <t xml:space="preserve">No matching BU core course; academic content earns departmental elective credit.</t>
  </si>
  <si>
    <t xml:space="preserve">D-019</t>
  </si>
  <si>
    <t xml:space="preserve">EVAL-BIO-03</t>
  </si>
  <si>
    <t xml:space="preserve">Content and level align with CAS BI 108 (Biology 2).</t>
  </si>
  <si>
    <t xml:space="preserve">D-020</t>
  </si>
  <si>
    <t xml:space="preserve">Data-structures content matches part of CS 112 but assumes CS 2100 design content. If student also completed CS 2100, refer to evaluator for combined CS 112 review.</t>
  </si>
  <si>
    <t xml:space="preserve">D-021</t>
  </si>
  <si>
    <t xml:space="preserve">D-022</t>
  </si>
  <si>
    <t xml:space="preserve">EVAL-ECO-01</t>
  </si>
  <si>
    <t xml:space="preserve">D-023</t>
  </si>
  <si>
    <t xml:space="preserve">Combined equivalent</t>
  </si>
  <si>
    <t xml:space="preserve">CAS Chemistry</t>
  </si>
  <si>
    <t xml:space="preserve">EVAL-CHE-03</t>
  </si>
  <si>
    <t xml:space="preserve">Earlier decision awarded CH 101 + CH 102. Reversed after department review in 2024.</t>
  </si>
  <si>
    <t xml:space="preserve">D-024</t>
  </si>
  <si>
    <t xml:space="preserve">CAS general elective</t>
  </si>
  <si>
    <t xml:space="preserve">CAS Writing Program</t>
  </si>
  <si>
    <t xml:space="preserve">EVAL-ENG-01</t>
  </si>
  <si>
    <t xml:space="preserve">Research writing. General elective credit; no Hub units.</t>
  </si>
  <si>
    <t xml:space="preserve">D-025</t>
  </si>
  <si>
    <t xml:space="preserve">EVAL-MAT-03</t>
  </si>
  <si>
    <t xml:space="preserve">Quarter calculus I. Accepted for MA 123; 3.33 units after quarter conversion.</t>
  </si>
  <si>
    <t xml:space="preserve">D-026</t>
  </si>
  <si>
    <t xml:space="preserve">Intro biology I with lab. Meets BI 107.</t>
  </si>
  <si>
    <t xml:space="preserve">D-027</t>
  </si>
  <si>
    <t xml:space="preserve">Content and level align with CAS CS 131 (Combinatoric Structures).</t>
  </si>
  <si>
    <t xml:space="preserve">D-028</t>
  </si>
  <si>
    <t xml:space="preserve">Content and level align with CAS PS 222 (Perception and Behavior).</t>
  </si>
  <si>
    <t xml:space="preserve">D-029</t>
  </si>
  <si>
    <t xml:space="preserve">D-030</t>
  </si>
  <si>
    <t xml:space="preserve">EVAL-ECO-03</t>
  </si>
  <si>
    <t xml:space="preserve">Content and level align with CAS EC 202 (Intermediate Macroeconomic Analysis).</t>
  </si>
  <si>
    <t xml:space="preserve">D-031</t>
  </si>
  <si>
    <t xml:space="preserve">Content and level align with CAS BI 206 (Genetics).</t>
  </si>
  <si>
    <t xml:space="preserve">D-032</t>
  </si>
  <si>
    <t xml:space="preserve">Integration techniques and series. Meets MA 124.</t>
  </si>
  <si>
    <t xml:space="preserve">D-033</t>
  </si>
  <si>
    <t xml:space="preserve">Comparable to CAS CS 350, but CS Group C courses must be taken at BU. Elective credit only.</t>
  </si>
  <si>
    <t xml:space="preserve">D-034</t>
  </si>
  <si>
    <t xml:space="preserve">D-035</t>
  </si>
  <si>
    <t xml:space="preserve">Covers logic, proofs, counting, recurrences, graphs and discrete probability. Also accepted for MA 293.</t>
  </si>
  <si>
    <t xml:space="preserve">D-036</t>
  </si>
  <si>
    <t xml:space="preserve">Content and level align with CAS PS 251 (Psychology of Personality: Theories and Application).</t>
  </si>
  <si>
    <t xml:space="preserve">D-037</t>
  </si>
  <si>
    <t xml:space="preserve">Principles of macroeconomics. Meets EC 102; units reduced by quarter conversion.</t>
  </si>
  <si>
    <t xml:space="preserve">D-038</t>
  </si>
  <si>
    <t xml:space="preserve">CAS BI elective</t>
  </si>
  <si>
    <t xml:space="preserve">D-039</t>
  </si>
  <si>
    <t xml:space="preserve">EVAL-ENG-02</t>
  </si>
  <si>
    <t xml:space="preserve">Composition course. General elective credit; transfer courses do not earn BU Hub units.</t>
  </si>
  <si>
    <t xml:space="preserve">D-040</t>
  </si>
  <si>
    <t xml:space="preserve">CAS HI elective</t>
  </si>
  <si>
    <t xml:space="preserve">CAS History</t>
  </si>
  <si>
    <t xml:space="preserve">EVAL-HIS-01</t>
  </si>
  <si>
    <t xml:space="preserve">U.S. history survey; elective credit.</t>
  </si>
  <si>
    <t xml:space="preserve">D-041</t>
  </si>
  <si>
    <t xml:space="preserve">Comparable to CAS CS 320, but CS Group C courses must be taken at BU. Elective credit only.</t>
  </si>
  <si>
    <t xml:space="preserve">D-042</t>
  </si>
  <si>
    <t xml:space="preserve">Content and level align with CAS PS 336 (Introduction to Cognitive Psychology).</t>
  </si>
  <si>
    <t xml:space="preserve">D-043</t>
  </si>
  <si>
    <t xml:space="preserve">Content and level align with CAS CH 204 (Organic Chemistry 2).</t>
  </si>
  <si>
    <t xml:space="preserve">D-044</t>
  </si>
  <si>
    <t xml:space="preserve">Content and level align with CAS EC 102 (Introductory Macroeconomic Analysis).</t>
  </si>
  <si>
    <t xml:space="preserve">D-045</t>
  </si>
  <si>
    <t xml:space="preserve">Content and level align with CAS CS 210 (Computer Systems).</t>
  </si>
  <si>
    <t xml:space="preserve">D-046</t>
  </si>
  <si>
    <t xml:space="preserve">D-047</t>
  </si>
  <si>
    <t xml:space="preserve">D-048</t>
  </si>
  <si>
    <t xml:space="preserve">Content and level align with CAS PS 241 (Developmental Psychology).</t>
  </si>
  <si>
    <t xml:space="preserve">D-049</t>
  </si>
  <si>
    <t xml:space="preserve">Calculus-based probability. MA 581 may substitute for CS 237.</t>
  </si>
  <si>
    <t xml:space="preserve">D-050</t>
  </si>
  <si>
    <t xml:space="preserve">D-051</t>
  </si>
  <si>
    <t xml:space="preserve">Series plus an introduction to vectors; does not meet MA 225.</t>
  </si>
  <si>
    <t xml:space="preserve">D-052</t>
  </si>
  <si>
    <t xml:space="preserve">Precalculus; below MA 123. Elective credit.</t>
  </si>
  <si>
    <t xml:space="preserve">D-053</t>
  </si>
  <si>
    <t xml:space="preserve">Accelerated one-semester course. Meets CH 101; does NOT satisfy CH 102 (electrochemistry/thermodynamics depth insufficient). Extra credit is elective.</t>
  </si>
  <si>
    <t xml:space="preserve">D-054</t>
  </si>
  <si>
    <t xml:space="preserve">Full linear-algebra content. MA 242 may substitute for CS 132.</t>
  </si>
  <si>
    <t xml:space="preserve">D-055</t>
  </si>
  <si>
    <t xml:space="preserve">EVAL-CHE-01</t>
  </si>
  <si>
    <t xml:space="preserve">General chemistry II with lab. Meets CH 102.</t>
  </si>
  <si>
    <t xml:space="preserve">D-056</t>
  </si>
  <si>
    <t xml:space="preserve">Only with CSE 142</t>
  </si>
  <si>
    <t xml:space="preserve">Second half of the two-quarter sequence; see CSE 142.</t>
  </si>
  <si>
    <t xml:space="preserve">D-057</t>
  </si>
  <si>
    <t xml:space="preserve">D-058</t>
  </si>
  <si>
    <t xml:space="preserve">D-059</t>
  </si>
  <si>
    <t xml:space="preserve">Content and level align with CAS EC 203 (Empirical Economics 1).</t>
  </si>
  <si>
    <t xml:space="preserve">D-060</t>
  </si>
  <si>
    <t xml:space="preserve">Combines probability and statistics; probability depth below MA 581 and CS 237. Elective credit only.</t>
  </si>
  <si>
    <t xml:space="preserve">D-061</t>
  </si>
  <si>
    <t xml:space="preserve">Content and level align with CAS CH 102 (General Chemistry 2).</t>
  </si>
  <si>
    <t xml:space="preserve">D-062</t>
  </si>
  <si>
    <t xml:space="preserve">EVAL-BIO-02</t>
  </si>
  <si>
    <t xml:space="preserve">Intro biology I. Meets BI 107.</t>
  </si>
  <si>
    <t xml:space="preserve">D-063</t>
  </si>
  <si>
    <t xml:space="preserve">D-064</t>
  </si>
  <si>
    <t xml:space="preserve">Syllabus review: genetics content (inheritance, mapping, regulation) meets BI 206; molecular content is additional.</t>
  </si>
  <si>
    <t xml:space="preserve">D-065</t>
  </si>
  <si>
    <t xml:space="preserve">D-066</t>
  </si>
  <si>
    <t xml:space="preserve">Only with CSE 143</t>
  </si>
  <si>
    <t xml:space="preserve">Two-quarter sequence. CSE 142 + CSE 143 together = CS 111. CSE 142 alone = CS elective.</t>
  </si>
  <si>
    <t xml:space="preserve">D-067</t>
  </si>
  <si>
    <t xml:space="preserve">EVAL-CHE-02</t>
  </si>
  <si>
    <t xml:space="preserve">General chemistry I. Meets CH 101.</t>
  </si>
  <si>
    <t xml:space="preserve">D-068</t>
  </si>
  <si>
    <t xml:space="preserve">Statistics only; BU PS 211 requires experimental design and lab reports. Elective credit.</t>
  </si>
  <si>
    <t xml:space="preserve">D-069</t>
  </si>
  <si>
    <t xml:space="preserve">Full linear-algebra content. Per BU CS BA rules MA 242 may also substitute for CS 132.</t>
  </si>
  <si>
    <t xml:space="preserve">D-070</t>
  </si>
  <si>
    <t xml:space="preserve">Content and level align with CAS MA 124 (Calculus II).</t>
  </si>
  <si>
    <t xml:space="preserve">D-071</t>
  </si>
  <si>
    <t xml:space="preserve">Developmental (pre-college) course; carries no degree credit at the sending institution.</t>
  </si>
  <si>
    <t xml:space="preserve">D-072</t>
  </si>
  <si>
    <t xml:space="preserve">Content and level align with CAS MA 226 (Differential Equations).</t>
  </si>
  <si>
    <t xml:space="preserve">D-073</t>
  </si>
  <si>
    <t xml:space="preserve">General chemistry I with lab. Meets CH 101.</t>
  </si>
  <si>
    <t xml:space="preserve">D-074</t>
  </si>
  <si>
    <t xml:space="preserve">D-075</t>
  </si>
  <si>
    <t xml:space="preserve">Syllabus review: covers multiple regression, IV and panel data with an empirical project. Meets EC 204.</t>
  </si>
  <si>
    <t xml:space="preserve">D-076</t>
  </si>
  <si>
    <t xml:space="preserve">D-077</t>
  </si>
  <si>
    <t xml:space="preserve">D-078</t>
  </si>
  <si>
    <t xml:space="preserve">Content and level align with CAS PS 231 (Physiological Psychology).</t>
  </si>
  <si>
    <t xml:space="preserve">D-079</t>
  </si>
  <si>
    <t xml:space="preserve">D-080</t>
  </si>
  <si>
    <t xml:space="preserve">Content and level align with CAS PS 371 (Psychopathology).</t>
  </si>
  <si>
    <t xml:space="preserve">D-081</t>
  </si>
  <si>
    <t xml:space="preserve">D-082</t>
  </si>
  <si>
    <t xml:space="preserve">D-083</t>
  </si>
  <si>
    <t xml:space="preserve">Content and level align with CAS PS 101 (General Psychology).</t>
  </si>
  <si>
    <t xml:space="preserve">D-084</t>
  </si>
  <si>
    <t xml:space="preserve">Content and level align with CAS CH 203 (Organic Chemistry 1).</t>
  </si>
  <si>
    <t xml:space="preserve">D-085</t>
  </si>
  <si>
    <t xml:space="preserve">D-086</t>
  </si>
  <si>
    <t xml:space="preserve">Principles of microeconomics. Meets EC 101; units reduced by quarter conversion.</t>
  </si>
  <si>
    <t xml:space="preserve">D-087</t>
  </si>
  <si>
    <t xml:space="preserve">Intro biology II with lab. Meets BI 108.</t>
  </si>
  <si>
    <t xml:space="preserve">D-088</t>
  </si>
  <si>
    <t xml:space="preserve">Matrix algebra without vector spaces; does not meet MA 242.</t>
  </si>
  <si>
    <t xml:space="preserve">D-089</t>
  </si>
  <si>
    <t xml:space="preserve">COM general elective</t>
  </si>
  <si>
    <t xml:space="preserve">COM</t>
  </si>
  <si>
    <t xml:space="preserve">Public speaking; general elective credit.</t>
  </si>
  <si>
    <t xml:space="preserve">D-090</t>
  </si>
  <si>
    <t xml:space="preserve">D-091</t>
  </si>
  <si>
    <t xml:space="preserve">Principles of microeconomics. Meets EC 101.</t>
  </si>
  <si>
    <t xml:space="preserve">D-092</t>
  </si>
  <si>
    <t xml:space="preserve">Content and level align with CAS CS 112 (Introduction to Computer Science 2).</t>
  </si>
  <si>
    <t xml:space="preserve">D-093</t>
  </si>
  <si>
    <t xml:space="preserve">Principles of macroeconomics. Meets EC 102.</t>
  </si>
  <si>
    <t xml:space="preserve">D-094</t>
  </si>
  <si>
    <t xml:space="preserve">D-095</t>
  </si>
  <si>
    <t xml:space="preserve">One-quarter data structures &amp; algorithms; overlaps CS 112 and CS 330 but meets neither fully.</t>
  </si>
  <si>
    <t xml:space="preserve">D-096</t>
  </si>
  <si>
    <t xml:space="preserve">Credit Evaluation Dept</t>
  </si>
  <si>
    <t xml:space="preserve">EVAL-HOS-03</t>
  </si>
  <si>
    <t xml:space="preserve">Career-technical course; not comparable to BU academic coursework.</t>
  </si>
  <si>
    <t xml:space="preserve">D-097</t>
  </si>
  <si>
    <t xml:space="preserve">D-098</t>
  </si>
  <si>
    <t xml:space="preserve">D-099</t>
  </si>
  <si>
    <t xml:space="preserve">Statistics only; does not cover experimental design required for PS 211.</t>
  </si>
  <si>
    <t xml:space="preserve">D-100</t>
  </si>
  <si>
    <t xml:space="preserve">Proof-writing course without combinatorics or graph theory; does not meet MA 293.</t>
  </si>
  <si>
    <t xml:space="preserve">D-101</t>
  </si>
  <si>
    <t xml:space="preserve">CAS EC elective</t>
  </si>
  <si>
    <t xml:space="preserve">Applied regression only; instrumental variables and panel methods not covered at EC 204 depth. Elective (200-level) credit.</t>
  </si>
  <si>
    <t xml:space="preserve">D-102</t>
  </si>
  <si>
    <t xml:space="preserve">Introductory psychology survey. Meets PS 101.</t>
  </si>
  <si>
    <t xml:space="preserve">D-103</t>
  </si>
  <si>
    <t xml:space="preserve">D-104</t>
  </si>
  <si>
    <t xml:space="preserve">Full linear-algebra content in a 3-credit course; requirement satisfied, 3 units awarded.</t>
  </si>
  <si>
    <t xml:space="preserve">D-105</t>
  </si>
  <si>
    <t xml:space="preserve">Non-calculus statistics; elective credit.</t>
  </si>
  <si>
    <t xml:space="preserve">D-106</t>
  </si>
  <si>
    <t xml:space="preserve">Content and level align with CAS CH 101 (General Chemistry 1).</t>
  </si>
  <si>
    <t xml:space="preserve">D-107</t>
  </si>
  <si>
    <t xml:space="preserve">D-108</t>
  </si>
  <si>
    <t xml:space="preserve">Limits, derivatives, applications and intro to integration. Meets MA 123.</t>
  </si>
  <si>
    <t xml:space="preserve">D-109</t>
  </si>
  <si>
    <t xml:space="preserve">Syllabus review: cellular content meets BI 203.</t>
  </si>
  <si>
    <t xml:space="preserve">D-110</t>
  </si>
  <si>
    <t xml:space="preserve">D-111</t>
  </si>
  <si>
    <t xml:space="preserve">Half-depth ODE coverage combined with linear algebra; does not meet MA 226.</t>
  </si>
  <si>
    <t xml:space="preserve">BU units (converted)</t>
  </si>
  <si>
    <t xml:space="preserve">Effective date</t>
  </si>
  <si>
    <t xml:space="preserve">Review by</t>
  </si>
  <si>
    <t xml:space="preserve">Student ID</t>
  </si>
  <si>
    <t xml:space="preserve">Name (fictional)</t>
  </si>
  <si>
    <t xml:space="preserve">Intended BU program</t>
  </si>
  <si>
    <t xml:space="preserve">BU start date</t>
  </si>
  <si>
    <t xml:space="preserve">Deadline (start + 365 days)</t>
  </si>
  <si>
    <t xml:space="preserve">Prior 200+ ECON transfers after matriculation</t>
  </si>
  <si>
    <t xml:space="preserve">Scenario</t>
  </si>
  <si>
    <t xml:space="preserve">SYN-1001</t>
  </si>
  <si>
    <t xml:space="preserve">Jordan Alvarez</t>
  </si>
  <si>
    <t xml:space="preserve">BA in Computer Science</t>
  </si>
  <si>
    <t xml:space="preserve">Demo scenario: 6 courses (3 existing equivalencies, 2 'maybe', 1 quarter-system).</t>
  </si>
  <si>
    <t xml:space="preserve">SYN-1002</t>
  </si>
  <si>
    <t xml:space="preserve">Priya Raman</t>
  </si>
  <si>
    <t xml:space="preserve">Northeastern transfer: Group C rule, grade below C, 5-credit lab courses, course with no catalogue data.</t>
  </si>
  <si>
    <t xml:space="preserve">SYN-1003</t>
  </si>
  <si>
    <t xml:space="preserve">Daniel Kim</t>
  </si>
  <si>
    <t xml:space="preserve">BA in Psychology</t>
  </si>
  <si>
    <t xml:space="preserve">NYU transfer: partial matches, a Pass/Fail grade, a 'maybe' with no decision, and an unlisted course.</t>
  </si>
  <si>
    <t xml:space="preserve">SYN-1004</t>
  </si>
  <si>
    <t xml:space="preserve">Aisha Thompson</t>
  </si>
  <si>
    <t xml:space="preserve">BA in Biology</t>
  </si>
  <si>
    <t xml:space="preserve">Community college + quarter school: developmental course, quarter conversion, and a transcript received after the one-year deadline.</t>
  </si>
  <si>
    <t xml:space="preserve">SYN-1005</t>
  </si>
  <si>
    <t xml:space="preserve">Marcus Lee</t>
  </si>
  <si>
    <t xml:space="preserve">BA in Economics</t>
  </si>
  <si>
    <t xml:space="preserve">Current BU student taking summer courses after matriculation: tests the 4-course cap on 200+ level Economics transfers.</t>
  </si>
  <si>
    <t xml:space="preserve">Line ID</t>
  </si>
  <si>
    <t xml:space="preserve">Term</t>
  </si>
  <si>
    <t xml:space="preserve">Grade</t>
  </si>
  <si>
    <t xml:space="preserve">Taken after BU matriculation</t>
  </si>
  <si>
    <t xml:space="preserve">Transcript received</t>
  </si>
  <si>
    <t xml:space="preserve">TL-001</t>
  </si>
  <si>
    <t xml:space="preserve">Fall 2024</t>
  </si>
  <si>
    <t xml:space="preserve">A</t>
  </si>
  <si>
    <t xml:space="preserve">TL-002</t>
  </si>
  <si>
    <t xml:space="preserve">B+</t>
  </si>
  <si>
    <t xml:space="preserve">TL-003</t>
  </si>
  <si>
    <t xml:space="preserve">A-</t>
  </si>
  <si>
    <t xml:space="preserve">TL-004</t>
  </si>
  <si>
    <t xml:space="preserve">Spring 2025</t>
  </si>
  <si>
    <t xml:space="preserve">B</t>
  </si>
  <si>
    <t xml:space="preserve">TL-005</t>
  </si>
  <si>
    <t xml:space="preserve">TL-006</t>
  </si>
  <si>
    <t xml:space="preserve">Summer 2025</t>
  </si>
  <si>
    <t xml:space="preserve">TL-007</t>
  </si>
  <si>
    <t xml:space="preserve">TL-008</t>
  </si>
  <si>
    <t xml:space="preserve">TL-009</t>
  </si>
  <si>
    <t xml:space="preserve">TL-010</t>
  </si>
  <si>
    <t xml:space="preserve">ENGW 1111</t>
  </si>
  <si>
    <t xml:space="preserve">First-Year Writing</t>
  </si>
  <si>
    <t xml:space="preserve">TL-011</t>
  </si>
  <si>
    <t xml:space="preserve">TL-012</t>
  </si>
  <si>
    <t xml:space="preserve">C-</t>
  </si>
  <si>
    <t xml:space="preserve">TL-013</t>
  </si>
  <si>
    <t xml:space="preserve">TL-014</t>
  </si>
  <si>
    <t xml:space="preserve">Fall 2025</t>
  </si>
  <si>
    <t xml:space="preserve">TL-015</t>
  </si>
  <si>
    <t xml:space="preserve">TL-016</t>
  </si>
  <si>
    <t xml:space="preserve">Spring 2026</t>
  </si>
  <si>
    <t xml:space="preserve">TL-017</t>
  </si>
  <si>
    <t xml:space="preserve">TL-018</t>
  </si>
  <si>
    <t xml:space="preserve">C</t>
  </si>
  <si>
    <t xml:space="preserve">TL-019</t>
  </si>
  <si>
    <t xml:space="preserve">EXPOS-UA 1</t>
  </si>
  <si>
    <t xml:space="preserve">Writing as Exploration</t>
  </si>
  <si>
    <t xml:space="preserve">TL-020</t>
  </si>
  <si>
    <t xml:space="preserve">TL-021</t>
  </si>
  <si>
    <t xml:space="preserve">B-</t>
  </si>
  <si>
    <t xml:space="preserve">TL-022</t>
  </si>
  <si>
    <t xml:space="preserve">TL-023</t>
  </si>
  <si>
    <t xml:space="preserve">TL-024</t>
  </si>
  <si>
    <t xml:space="preserve">P</t>
  </si>
  <si>
    <t xml:space="preserve">TL-025</t>
  </si>
  <si>
    <t xml:space="preserve">Fall 2023</t>
  </si>
  <si>
    <t xml:space="preserve">TL-026</t>
  </si>
  <si>
    <t xml:space="preserve">TL-027</t>
  </si>
  <si>
    <t xml:space="preserve">TL-028</t>
  </si>
  <si>
    <t xml:space="preserve">Spring 2024</t>
  </si>
  <si>
    <t xml:space="preserve">TL-029</t>
  </si>
  <si>
    <t xml:space="preserve">TL-030</t>
  </si>
  <si>
    <t xml:space="preserve">TL-031</t>
  </si>
  <si>
    <t xml:space="preserve">TL-032</t>
  </si>
  <si>
    <t xml:space="preserve">TL-033</t>
  </si>
  <si>
    <t xml:space="preserve">Summer 2026</t>
  </si>
  <si>
    <t xml:space="preserve">TL-034</t>
  </si>
  <si>
    <t xml:space="preserve">TL-035</t>
  </si>
  <si>
    <t xml:space="preserve">File</t>
  </si>
  <si>
    <t xml:space="preserve">Needed for student</t>
  </si>
  <si>
    <t xml:space="preserve">syllabi/HCC_CSC215_Data_Structures_in_Java.pdf</t>
  </si>
  <si>
    <t xml:space="preserve">syllabi/HCC_MAT210_Discrete_Mathematics.pdf</t>
  </si>
  <si>
    <t xml:space="preserve">syllabi/NU_CS2100_Program_Design_1.pdf</t>
  </si>
  <si>
    <t xml:space="preserve">syllabi/PCU_CHEM237_Organic_Chemistry_I.pdf</t>
  </si>
  <si>
    <t xml:space="preserve">Expected path</t>
  </si>
  <si>
    <t xml:space="preserve">Expected BU course</t>
  </si>
  <si>
    <t xml:space="preserve">Expected units</t>
  </si>
  <si>
    <t xml:space="preserve">Secure units</t>
  </si>
  <si>
    <t xml:space="preserve">Pending units</t>
  </si>
  <si>
    <t xml:space="preserve">Flags the agent must raise</t>
  </si>
  <si>
    <t xml:space="preserve">Why</t>
  </si>
  <si>
    <t xml:space="preserve">Existing equivalency</t>
  </si>
  <si>
    <t xml:space="preserve">No BU Hub units (all transfer courses)</t>
  </si>
  <si>
    <t xml:space="preserve">D-012: Syllabus confirms Python, recursion, dictionaries and intro to classes. Meets CS 111.</t>
  </si>
  <si>
    <t xml:space="preserve">D-108: Limits, derivatives, applications and intro to integration. Meets MA 123.</t>
  </si>
  <si>
    <t xml:space="preserve">D-039: Composition course. General elective credit; transfer courses do not earn BU Hub units.</t>
  </si>
  <si>
    <t xml:space="preserve">Maybe → syllabus review</t>
  </si>
  <si>
    <t xml:space="preserve">Pending (4 if approved)</t>
  </si>
  <si>
    <t xml:space="preserve">Likely equivalent: syllabus covers linked lists, stacks, queues, BSTs, heaps, hash tables and Big-O in Java.</t>
  </si>
  <si>
    <t xml:space="preserve">CAS CS 131 (conditional) or CAS MA 293</t>
  </si>
  <si>
    <t xml:space="preserve">Pending (3 if approved)</t>
  </si>
  <si>
    <t xml:space="preserve">Partial: logic, proofs, induction, counting and graphs covered; recurrences and discrete probability missing; 3 vs 4 credits. Department decides.</t>
  </si>
  <si>
    <t xml:space="preserve">Quarter conversion 4 × 2/3 = 2.66; No BU Hub units (all transfer courses)</t>
  </si>
  <si>
    <t xml:space="preserve">D-086: Principles of microeconomics. Meets EC 101; units reduced by quarter conversion.</t>
  </si>
  <si>
    <t xml:space="preserve">D-005: Content and level align with CAS CS 111 (Introduction to Computer Science 1).</t>
  </si>
  <si>
    <t xml:space="preserve">D-027: Content and level align with CAS CS 131 (Combinatoric Structures).</t>
  </si>
  <si>
    <t xml:space="preserve">D-010: Content and level align with CAS MA 123 (Calculus I).</t>
  </si>
  <si>
    <t xml:space="preserve">Maybe → request syllabus</t>
  </si>
  <si>
    <t xml:space="preserve">CAS general elective (likely)</t>
  </si>
  <si>
    <t xml:space="preserve">Course not in catalogue data; request syllabus. Writing courses typically earn elective credit, no Hub units.</t>
  </si>
  <si>
    <t xml:space="preserve">CAS CS 112 (with CS 2700)</t>
  </si>
  <si>
    <t xml:space="preserve">Pending (5 if approved)</t>
  </si>
  <si>
    <t xml:space="preserve">Program design without asymptotic analysis. With CS 2700 (also on transcript) the pair likely covers CS 112; flag combined review.</t>
  </si>
  <si>
    <t xml:space="preserve">Grade below C: no credit; No BU Hub units (all transfer courses)</t>
  </si>
  <si>
    <t xml:space="preserve">D-070: Content and level align with CAS MA 124 (Calculus II).</t>
  </si>
  <si>
    <t xml:space="preserve">D-069: Full linear-algebra content. Per BU CS BA rules MA 242 may also substitute for CS 132.</t>
  </si>
  <si>
    <t xml:space="preserve">D-020: Data-structures content matches part of CS 112 but assumes CS 2100 design content. If student also completed CS 2100, refer to evaluator for combined CS 112 review.</t>
  </si>
  <si>
    <t xml:space="preserve">D-007: Content and level align with CAS CS 330 (Introduction to the Analysis of Algorithms).</t>
  </si>
  <si>
    <t xml:space="preserve">Group C requirement must be taken at BU: elective credit only; No BU Hub units (all transfer courses)</t>
  </si>
  <si>
    <t xml:space="preserve">D-006: Comparable to CAS CS 332, but CS Group C courses must be taken at BU. Elective credit only.</t>
  </si>
  <si>
    <t xml:space="preserve">D-094: Content and level align with CAS PS 101 (General Psychology).</t>
  </si>
  <si>
    <t xml:space="preserve">D-085: Content and level align with CAS MA 123 (Calculus I).</t>
  </si>
  <si>
    <t xml:space="preserve">Course not in catalogue data; request syllabus.</t>
  </si>
  <si>
    <t xml:space="preserve">D-099: Statistics only; does not cover experimental design required for PS 211.</t>
  </si>
  <si>
    <t xml:space="preserve">D-011: Content and level align with CAS BI 107 (Biology 1).</t>
  </si>
  <si>
    <t xml:space="preserve">CAS PS 231 (uncertain)</t>
  </si>
  <si>
    <t xml:space="preserve">Cognitive neuroscience; limited neurotransmission/hormone coverage vs PS 231. Likely elective unless syllabus shows physiological depth.</t>
  </si>
  <si>
    <t xml:space="preserve">D-001: Content and level align with CAS PS 261 (Social Psychology).</t>
  </si>
  <si>
    <t xml:space="preserve">Hold (4 if grade accepted)</t>
  </si>
  <si>
    <t xml:space="preserve">Pass/Fail grade: cannot confirm C or higher, needs evaluator decision; No BU Hub units (all transfer courses)</t>
  </si>
  <si>
    <t xml:space="preserve">D-110: Content and level align with CAS PS 241 (Developmental Psychology).</t>
  </si>
  <si>
    <t xml:space="preserve">D-071: Developmental (pre-college) course; carries no degree credit at the sending institution.</t>
  </si>
  <si>
    <t xml:space="preserve">D-026: Intro biology I with lab. Meets BI 107.</t>
  </si>
  <si>
    <t xml:space="preserve">D-073: General chemistry I with lab. Meets CH 101.</t>
  </si>
  <si>
    <t xml:space="preserve">D-087: Intro biology II with lab. Meets BI 108.</t>
  </si>
  <si>
    <t xml:space="preserve">D-055: General chemistry II with lab. Meets CH 102.</t>
  </si>
  <si>
    <t xml:space="preserve">D-105: Non-calculus statistics; elective credit.</t>
  </si>
  <si>
    <t xml:space="preserve">0 (deadline; exception needed)</t>
  </si>
  <si>
    <t xml:space="preserve">Quarter conversion 5 × 2/3 = 3.33; Transcript received &gt; 1 year after BU start: deadline exceeded; No BU Hub units (all transfer courses)</t>
  </si>
  <si>
    <t xml:space="preserve">D-025: Quarter calculus I. Accepted for MA 123; 3.33 units after quarter conversion.</t>
  </si>
  <si>
    <t xml:space="preserve">CAS CH 203 (partial) / CAS CH elective</t>
  </si>
  <si>
    <t xml:space="preserve">Quarter conversion 4 × 2/3 = 2.66; Transcript received &gt; 1 year after BU start: deadline exceeded; No BU Hub units (all transfer courses)</t>
  </si>
  <si>
    <t xml:space="preserve">One quarter covers only part of Orgo I (no eliminations/alkenes, no lab). Likely elective unless paired with next quarter.</t>
  </si>
  <si>
    <t xml:space="preserve">D-030: Content and level align with CAS EC 202 (Intermediate Macroeconomic Analysis).</t>
  </si>
  <si>
    <t xml:space="preserve">D-063: Content and level align with CAS EC 203 (Empirical Economics 1).</t>
  </si>
  <si>
    <t xml:space="preserve">Hold (4 if cap allows)</t>
  </si>
  <si>
    <t xml:space="preserve">Econ cap: this is 200+ level transfer #5 after matriculation (max 4); evaluator must choose which count; No BU Hub units (all transfer courses)</t>
  </si>
  <si>
    <t xml:space="preserve">D-075: Syllabus review: covers multiple regression, IV and panel data with an empirical project. Meets EC 204.</t>
  </si>
  <si>
    <t xml:space="preserve">Summary checks (formulas)</t>
  </si>
  <si>
    <t xml:space="preserve">Active decisions by outcome</t>
  </si>
  <si>
    <t xml:space="preserve">Count</t>
  </si>
  <si>
    <t xml:space="preserve">Total decisions</t>
  </si>
  <si>
    <t xml:space="preserve">Student</t>
  </si>
  <si>
    <t xml:space="preserve">Transcript lines</t>
  </si>
  <si>
    <t xml:space="preserve">Maybe (syllabus)</t>
  </si>
  <si>
    <t xml:space="preserve">Demo check (SYN-1001): needs 3 existing, 2 maybe, 1 quarter course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</si>
</sst>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48.5" hidden="false" customHeight="false" outlineLevel="0" collapsed="false">
      <c r="A1" s="1" t="s">
        <v>0</v>
      </c>
      <c r="B1" s="2"/>
    </row>
    <row r="2" customFormat="false" ht="23.8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2" t="s">
        <v>3</v>
      </c>
      <c r="B3" s="2" t="s">
        <v>4</v>
      </c>
    </row>
    <row r="4" customFormat="false" ht="23.85" hidden="false" customHeight="false" outlineLevel="0" collapsed="false">
      <c r="A4" s="2" t="s">
        <v>5</v>
      </c>
      <c r="B4" s="2" t="s">
        <v>6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4" t="s">
        <v>7</v>
      </c>
      <c r="B6" s="2"/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 t="s">
        <v>12</v>
      </c>
      <c r="B9" s="2" t="s">
        <v>13</v>
      </c>
    </row>
    <row r="10" customFormat="false" ht="15" hidden="false" customHeight="false" outlineLevel="0" collapsed="false">
      <c r="A10" s="2" t="s">
        <v>14</v>
      </c>
      <c r="B10" s="2" t="s">
        <v>15</v>
      </c>
    </row>
    <row r="11" customFormat="false" ht="15" hidden="false" customHeight="false" outlineLevel="0" collapsed="false">
      <c r="A11" s="2" t="s">
        <v>16</v>
      </c>
      <c r="B11" s="2" t="s">
        <v>17</v>
      </c>
    </row>
    <row r="12" customFormat="false" ht="15" hidden="false" customHeight="false" outlineLevel="0" collapsed="false">
      <c r="A12" s="2" t="s">
        <v>18</v>
      </c>
      <c r="B12" s="2" t="s">
        <v>19</v>
      </c>
    </row>
    <row r="13" customFormat="false" ht="15" hidden="false" customHeight="false" outlineLevel="0" collapsed="false">
      <c r="A13" s="2" t="s">
        <v>20</v>
      </c>
      <c r="B13" s="2" t="s">
        <v>21</v>
      </c>
    </row>
    <row r="14" customFormat="false" ht="15" hidden="false" customHeight="false" outlineLevel="0" collapsed="false">
      <c r="A14" s="2" t="s">
        <v>22</v>
      </c>
      <c r="B14" s="2" t="s">
        <v>23</v>
      </c>
    </row>
    <row r="15" customFormat="false" ht="15" hidden="false" customHeight="false" outlineLevel="0" collapsed="false">
      <c r="A15" s="2" t="s">
        <v>24</v>
      </c>
      <c r="B15" s="2" t="s">
        <v>25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 t="s">
        <v>26</v>
      </c>
      <c r="B17" s="2" t="s">
        <v>27</v>
      </c>
    </row>
    <row r="18" customFormat="false" ht="15" hidden="false" customHeight="false" outlineLevel="0" collapsed="false">
      <c r="A18" s="2"/>
      <c r="B18" s="2"/>
    </row>
    <row r="19" customFormat="false" ht="26.85" hidden="false" customHeight="false" outlineLevel="0" collapsed="false">
      <c r="A19" s="4" t="s">
        <v>28</v>
      </c>
      <c r="B19" s="2"/>
    </row>
    <row r="20" customFormat="false" ht="15" hidden="false" customHeight="false" outlineLevel="0" collapsed="false">
      <c r="A20" s="2" t="s">
        <v>29</v>
      </c>
      <c r="B20" s="2" t="s">
        <v>30</v>
      </c>
    </row>
    <row r="21" customFormat="false" ht="15" hidden="false" customHeight="false" outlineLevel="0" collapsed="false">
      <c r="A21" s="2" t="s">
        <v>31</v>
      </c>
      <c r="B21" s="2" t="s">
        <v>32</v>
      </c>
    </row>
    <row r="22" customFormat="false" ht="15" hidden="false" customHeight="false" outlineLevel="0" collapsed="false">
      <c r="A22" s="2" t="s">
        <v>33</v>
      </c>
      <c r="B22" s="2" t="s">
        <v>34</v>
      </c>
    </row>
    <row r="23" customFormat="false" ht="15" hidden="false" customHeight="false" outlineLevel="0" collapsed="false">
      <c r="A23" s="2" t="s">
        <v>35</v>
      </c>
      <c r="B23" s="2" t="s">
        <v>36</v>
      </c>
    </row>
    <row r="24" customFormat="false" ht="15" hidden="false" customHeight="false" outlineLevel="0" collapsed="false">
      <c r="A24" s="2" t="s">
        <v>37</v>
      </c>
      <c r="B24" s="2" t="s">
        <v>38</v>
      </c>
    </row>
    <row r="25" customFormat="false" ht="15" hidden="false" customHeight="false" outlineLevel="0" collapsed="false">
      <c r="A25" s="2" t="s">
        <v>39</v>
      </c>
      <c r="B25" s="2" t="s">
        <v>40</v>
      </c>
    </row>
    <row r="26" customFormat="false" ht="15" hidden="false" customHeight="false" outlineLevel="0" collapsed="false">
      <c r="A26" s="2" t="s">
        <v>41</v>
      </c>
      <c r="B26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26.85" hidden="false" customHeight="false" outlineLevel="0" collapsed="false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</row>
    <row r="2" customFormat="false" ht="15" hidden="false" customHeight="false" outlineLevel="0" collapsed="false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</row>
    <row r="3" customFormat="false" ht="15" hidden="false" customHeight="false" outlineLevel="0" collapsed="false">
      <c r="A3" s="6" t="s">
        <v>53</v>
      </c>
      <c r="B3" s="6" t="s">
        <v>54</v>
      </c>
      <c r="C3" s="6" t="s">
        <v>50</v>
      </c>
      <c r="D3" s="6" t="s">
        <v>55</v>
      </c>
      <c r="E3" s="6" t="s">
        <v>56</v>
      </c>
    </row>
    <row r="4" customFormat="false" ht="15" hidden="false" customHeight="false" outlineLevel="0" collapsed="false">
      <c r="A4" s="6" t="s">
        <v>57</v>
      </c>
      <c r="B4" s="6" t="s">
        <v>54</v>
      </c>
      <c r="C4" s="6" t="s">
        <v>50</v>
      </c>
      <c r="D4" s="6" t="s">
        <v>55</v>
      </c>
      <c r="E4" s="6" t="s">
        <v>56</v>
      </c>
    </row>
    <row r="5" customFormat="false" ht="15" hidden="false" customHeight="false" outlineLevel="0" collapsed="false">
      <c r="A5" s="6" t="s">
        <v>58</v>
      </c>
      <c r="B5" s="6" t="s">
        <v>59</v>
      </c>
      <c r="C5" s="6" t="s">
        <v>50</v>
      </c>
      <c r="D5" s="6" t="s">
        <v>55</v>
      </c>
      <c r="E5" s="6" t="s">
        <v>60</v>
      </c>
    </row>
    <row r="6" customFormat="false" ht="15" hidden="false" customHeight="false" outlineLevel="0" collapsed="false">
      <c r="A6" s="6" t="s">
        <v>61</v>
      </c>
      <c r="B6" s="6" t="s">
        <v>62</v>
      </c>
      <c r="C6" s="6" t="s">
        <v>63</v>
      </c>
      <c r="D6" s="6" t="s">
        <v>64</v>
      </c>
      <c r="E6" s="6" t="s">
        <v>60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70"/>
    <col collapsed="false" customWidth="true" hidden="false" outlineLevel="0" max="8" min="8" style="0" width="50"/>
    <col collapsed="false" customWidth="true" hidden="false" outlineLevel="0" max="9" min="9" style="0" width="34"/>
  </cols>
  <sheetData>
    <row r="1" customFormat="false" ht="26.85" hidden="false" customHeight="false" outlineLevel="0" collapsed="false">
      <c r="A1" s="5" t="s">
        <v>43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45</v>
      </c>
      <c r="G1" s="5" t="s">
        <v>69</v>
      </c>
      <c r="H1" s="5" t="s">
        <v>70</v>
      </c>
      <c r="I1" s="5" t="s">
        <v>47</v>
      </c>
    </row>
    <row r="2" customFormat="false" ht="46.25" hidden="false" customHeight="false" outlineLevel="0" collapsed="false">
      <c r="A2" s="6" t="s">
        <v>48</v>
      </c>
      <c r="B2" s="6" t="s">
        <v>71</v>
      </c>
      <c r="C2" s="6" t="s">
        <v>72</v>
      </c>
      <c r="D2" s="6" t="s">
        <v>73</v>
      </c>
      <c r="E2" s="6" t="n">
        <v>4</v>
      </c>
      <c r="F2" s="6" t="s">
        <v>50</v>
      </c>
      <c r="G2" s="7" t="s">
        <v>74</v>
      </c>
      <c r="H2" s="7" t="s">
        <v>75</v>
      </c>
      <c r="I2" s="7" t="s">
        <v>76</v>
      </c>
    </row>
    <row r="3" customFormat="false" ht="46.25" hidden="false" customHeight="false" outlineLevel="0" collapsed="false">
      <c r="A3" s="6" t="s">
        <v>48</v>
      </c>
      <c r="B3" s="6" t="s">
        <v>77</v>
      </c>
      <c r="C3" s="6" t="s">
        <v>78</v>
      </c>
      <c r="D3" s="6" t="s">
        <v>73</v>
      </c>
      <c r="E3" s="6" t="n">
        <v>4</v>
      </c>
      <c r="F3" s="6" t="s">
        <v>50</v>
      </c>
      <c r="G3" s="7" t="s">
        <v>79</v>
      </c>
      <c r="H3" s="7" t="s">
        <v>80</v>
      </c>
      <c r="I3" s="7" t="s">
        <v>76</v>
      </c>
    </row>
    <row r="4" customFormat="false" ht="35.05" hidden="false" customHeight="false" outlineLevel="0" collapsed="false">
      <c r="A4" s="6" t="s">
        <v>48</v>
      </c>
      <c r="B4" s="6" t="s">
        <v>81</v>
      </c>
      <c r="C4" s="6" t="s">
        <v>82</v>
      </c>
      <c r="D4" s="6" t="s">
        <v>73</v>
      </c>
      <c r="E4" s="6" t="n">
        <v>4</v>
      </c>
      <c r="F4" s="6" t="s">
        <v>50</v>
      </c>
      <c r="G4" s="7" t="s">
        <v>83</v>
      </c>
      <c r="H4" s="7" t="s">
        <v>84</v>
      </c>
      <c r="I4" s="7" t="s">
        <v>76</v>
      </c>
    </row>
    <row r="5" customFormat="false" ht="35.05" hidden="false" customHeight="false" outlineLevel="0" collapsed="false">
      <c r="A5" s="6" t="s">
        <v>48</v>
      </c>
      <c r="B5" s="6" t="s">
        <v>85</v>
      </c>
      <c r="C5" s="6" t="s">
        <v>86</v>
      </c>
      <c r="D5" s="6" t="s">
        <v>73</v>
      </c>
      <c r="E5" s="6" t="n">
        <v>4</v>
      </c>
      <c r="F5" s="6" t="s">
        <v>50</v>
      </c>
      <c r="G5" s="7" t="s">
        <v>87</v>
      </c>
      <c r="H5" s="7" t="s">
        <v>88</v>
      </c>
      <c r="I5" s="7" t="s">
        <v>76</v>
      </c>
    </row>
    <row r="6" customFormat="false" ht="35.05" hidden="false" customHeight="false" outlineLevel="0" collapsed="false">
      <c r="A6" s="6" t="s">
        <v>48</v>
      </c>
      <c r="B6" s="6" t="s">
        <v>89</v>
      </c>
      <c r="C6" s="6" t="s">
        <v>90</v>
      </c>
      <c r="D6" s="6" t="s">
        <v>73</v>
      </c>
      <c r="E6" s="6" t="n">
        <v>4</v>
      </c>
      <c r="F6" s="6" t="s">
        <v>50</v>
      </c>
      <c r="G6" s="7" t="s">
        <v>91</v>
      </c>
      <c r="H6" s="7" t="s">
        <v>92</v>
      </c>
      <c r="I6" s="7" t="s">
        <v>76</v>
      </c>
    </row>
    <row r="7" customFormat="false" ht="35.05" hidden="false" customHeight="false" outlineLevel="0" collapsed="false">
      <c r="A7" s="6" t="s">
        <v>48</v>
      </c>
      <c r="B7" s="6" t="s">
        <v>93</v>
      </c>
      <c r="C7" s="6" t="s">
        <v>94</v>
      </c>
      <c r="D7" s="6" t="s">
        <v>73</v>
      </c>
      <c r="E7" s="6" t="n">
        <v>4</v>
      </c>
      <c r="F7" s="6" t="s">
        <v>50</v>
      </c>
      <c r="G7" s="7" t="s">
        <v>95</v>
      </c>
      <c r="H7" s="7" t="s">
        <v>96</v>
      </c>
      <c r="I7" s="7" t="s">
        <v>76</v>
      </c>
    </row>
    <row r="8" customFormat="false" ht="35.05" hidden="false" customHeight="false" outlineLevel="0" collapsed="false">
      <c r="A8" s="6" t="s">
        <v>48</v>
      </c>
      <c r="B8" s="6" t="s">
        <v>97</v>
      </c>
      <c r="C8" s="6" t="s">
        <v>98</v>
      </c>
      <c r="D8" s="6" t="s">
        <v>73</v>
      </c>
      <c r="E8" s="6" t="n">
        <v>4</v>
      </c>
      <c r="F8" s="6" t="s">
        <v>50</v>
      </c>
      <c r="G8" s="7" t="s">
        <v>99</v>
      </c>
      <c r="H8" s="7" t="s">
        <v>100</v>
      </c>
      <c r="I8" s="7" t="s">
        <v>76</v>
      </c>
    </row>
    <row r="9" customFormat="false" ht="35.05" hidden="false" customHeight="false" outlineLevel="0" collapsed="false">
      <c r="A9" s="6" t="s">
        <v>48</v>
      </c>
      <c r="B9" s="6" t="s">
        <v>101</v>
      </c>
      <c r="C9" s="6" t="s">
        <v>102</v>
      </c>
      <c r="D9" s="6" t="s">
        <v>73</v>
      </c>
      <c r="E9" s="6" t="n">
        <v>4</v>
      </c>
      <c r="F9" s="6" t="s">
        <v>50</v>
      </c>
      <c r="G9" s="7" t="s">
        <v>103</v>
      </c>
      <c r="H9" s="7" t="s">
        <v>104</v>
      </c>
      <c r="I9" s="7" t="s">
        <v>76</v>
      </c>
    </row>
    <row r="10" customFormat="false" ht="35.05" hidden="false" customHeight="false" outlineLevel="0" collapsed="false">
      <c r="A10" s="6" t="s">
        <v>48</v>
      </c>
      <c r="B10" s="6" t="s">
        <v>105</v>
      </c>
      <c r="C10" s="6" t="s">
        <v>106</v>
      </c>
      <c r="D10" s="6" t="s">
        <v>73</v>
      </c>
      <c r="E10" s="6" t="n">
        <v>4</v>
      </c>
      <c r="F10" s="6" t="s">
        <v>50</v>
      </c>
      <c r="G10" s="7" t="s">
        <v>107</v>
      </c>
      <c r="H10" s="7" t="s">
        <v>108</v>
      </c>
      <c r="I10" s="7" t="s">
        <v>76</v>
      </c>
    </row>
    <row r="11" customFormat="false" ht="35.05" hidden="false" customHeight="false" outlineLevel="0" collapsed="false">
      <c r="A11" s="6" t="s">
        <v>48</v>
      </c>
      <c r="B11" s="6" t="s">
        <v>109</v>
      </c>
      <c r="C11" s="6" t="s">
        <v>110</v>
      </c>
      <c r="D11" s="6" t="s">
        <v>73</v>
      </c>
      <c r="E11" s="6" t="n">
        <v>4</v>
      </c>
      <c r="F11" s="6" t="s">
        <v>50</v>
      </c>
      <c r="G11" s="7" t="s">
        <v>111</v>
      </c>
      <c r="H11" s="7" t="s">
        <v>112</v>
      </c>
      <c r="I11" s="7" t="s">
        <v>76</v>
      </c>
    </row>
    <row r="12" customFormat="false" ht="35.05" hidden="false" customHeight="false" outlineLevel="0" collapsed="false">
      <c r="A12" s="6" t="s">
        <v>48</v>
      </c>
      <c r="B12" s="6" t="s">
        <v>113</v>
      </c>
      <c r="C12" s="6" t="s">
        <v>114</v>
      </c>
      <c r="D12" s="6" t="s">
        <v>73</v>
      </c>
      <c r="E12" s="6" t="n">
        <v>4</v>
      </c>
      <c r="F12" s="6" t="s">
        <v>50</v>
      </c>
      <c r="G12" s="7" t="s">
        <v>115</v>
      </c>
      <c r="H12" s="7" t="s">
        <v>116</v>
      </c>
      <c r="I12" s="7" t="s">
        <v>76</v>
      </c>
    </row>
    <row r="13" customFormat="false" ht="35.05" hidden="false" customHeight="false" outlineLevel="0" collapsed="false">
      <c r="A13" s="6" t="s">
        <v>48</v>
      </c>
      <c r="B13" s="6" t="s">
        <v>117</v>
      </c>
      <c r="C13" s="6" t="s">
        <v>118</v>
      </c>
      <c r="D13" s="6" t="s">
        <v>119</v>
      </c>
      <c r="E13" s="6" t="n">
        <v>4</v>
      </c>
      <c r="F13" s="6" t="s">
        <v>50</v>
      </c>
      <c r="G13" s="7" t="s">
        <v>120</v>
      </c>
      <c r="H13" s="7" t="s">
        <v>121</v>
      </c>
      <c r="I13" s="7" t="s">
        <v>76</v>
      </c>
    </row>
    <row r="14" customFormat="false" ht="35.05" hidden="false" customHeight="false" outlineLevel="0" collapsed="false">
      <c r="A14" s="6" t="s">
        <v>48</v>
      </c>
      <c r="B14" s="6" t="s">
        <v>122</v>
      </c>
      <c r="C14" s="6" t="s">
        <v>123</v>
      </c>
      <c r="D14" s="6" t="s">
        <v>119</v>
      </c>
      <c r="E14" s="6" t="n">
        <v>4</v>
      </c>
      <c r="F14" s="6" t="s">
        <v>50</v>
      </c>
      <c r="G14" s="7" t="s">
        <v>124</v>
      </c>
      <c r="H14" s="7" t="s">
        <v>125</v>
      </c>
      <c r="I14" s="7" t="s">
        <v>76</v>
      </c>
    </row>
    <row r="15" customFormat="false" ht="35.05" hidden="false" customHeight="false" outlineLevel="0" collapsed="false">
      <c r="A15" s="6" t="s">
        <v>48</v>
      </c>
      <c r="B15" s="6" t="s">
        <v>126</v>
      </c>
      <c r="C15" s="6" t="s">
        <v>127</v>
      </c>
      <c r="D15" s="6" t="s">
        <v>119</v>
      </c>
      <c r="E15" s="6" t="n">
        <v>4</v>
      </c>
      <c r="F15" s="6" t="s">
        <v>50</v>
      </c>
      <c r="G15" s="7" t="s">
        <v>128</v>
      </c>
      <c r="H15" s="7" t="s">
        <v>129</v>
      </c>
      <c r="I15" s="7" t="s">
        <v>76</v>
      </c>
    </row>
    <row r="16" customFormat="false" ht="35.05" hidden="false" customHeight="false" outlineLevel="0" collapsed="false">
      <c r="A16" s="6" t="s">
        <v>48</v>
      </c>
      <c r="B16" s="6" t="s">
        <v>130</v>
      </c>
      <c r="C16" s="6" t="s">
        <v>131</v>
      </c>
      <c r="D16" s="6" t="s">
        <v>119</v>
      </c>
      <c r="E16" s="6" t="n">
        <v>4</v>
      </c>
      <c r="F16" s="6" t="s">
        <v>50</v>
      </c>
      <c r="G16" s="7" t="s">
        <v>132</v>
      </c>
      <c r="H16" s="7" t="s">
        <v>133</v>
      </c>
      <c r="I16" s="7" t="s">
        <v>76</v>
      </c>
    </row>
    <row r="17" customFormat="false" ht="35.05" hidden="false" customHeight="false" outlineLevel="0" collapsed="false">
      <c r="A17" s="6" t="s">
        <v>48</v>
      </c>
      <c r="B17" s="6" t="s">
        <v>134</v>
      </c>
      <c r="C17" s="6" t="s">
        <v>135</v>
      </c>
      <c r="D17" s="6" t="s">
        <v>119</v>
      </c>
      <c r="E17" s="6" t="n">
        <v>4</v>
      </c>
      <c r="F17" s="6" t="s">
        <v>50</v>
      </c>
      <c r="G17" s="7" t="s">
        <v>136</v>
      </c>
      <c r="H17" s="7" t="s">
        <v>137</v>
      </c>
      <c r="I17" s="7" t="s">
        <v>76</v>
      </c>
    </row>
    <row r="18" customFormat="false" ht="35.05" hidden="false" customHeight="false" outlineLevel="0" collapsed="false">
      <c r="A18" s="6" t="s">
        <v>48</v>
      </c>
      <c r="B18" s="6" t="s">
        <v>138</v>
      </c>
      <c r="C18" s="6" t="s">
        <v>139</v>
      </c>
      <c r="D18" s="6" t="s">
        <v>119</v>
      </c>
      <c r="E18" s="6" t="n">
        <v>4</v>
      </c>
      <c r="F18" s="6" t="s">
        <v>50</v>
      </c>
      <c r="G18" s="7" t="s">
        <v>140</v>
      </c>
      <c r="H18" s="7" t="s">
        <v>141</v>
      </c>
      <c r="I18" s="7" t="s">
        <v>76</v>
      </c>
    </row>
    <row r="19" customFormat="false" ht="35.05" hidden="false" customHeight="false" outlineLevel="0" collapsed="false">
      <c r="A19" s="6" t="s">
        <v>48</v>
      </c>
      <c r="B19" s="6" t="s">
        <v>142</v>
      </c>
      <c r="C19" s="6" t="s">
        <v>143</v>
      </c>
      <c r="D19" s="6" t="s">
        <v>144</v>
      </c>
      <c r="E19" s="6" t="n">
        <v>4</v>
      </c>
      <c r="F19" s="6" t="s">
        <v>50</v>
      </c>
      <c r="G19" s="7" t="s">
        <v>145</v>
      </c>
      <c r="H19" s="7" t="s">
        <v>146</v>
      </c>
      <c r="I19" s="7" t="s">
        <v>76</v>
      </c>
    </row>
    <row r="20" customFormat="false" ht="35.05" hidden="false" customHeight="false" outlineLevel="0" collapsed="false">
      <c r="A20" s="6" t="s">
        <v>48</v>
      </c>
      <c r="B20" s="6" t="s">
        <v>147</v>
      </c>
      <c r="C20" s="6" t="s">
        <v>148</v>
      </c>
      <c r="D20" s="6" t="s">
        <v>144</v>
      </c>
      <c r="E20" s="6" t="n">
        <v>4</v>
      </c>
      <c r="F20" s="6" t="s">
        <v>50</v>
      </c>
      <c r="G20" s="7" t="s">
        <v>149</v>
      </c>
      <c r="H20" s="7" t="s">
        <v>150</v>
      </c>
      <c r="I20" s="7" t="s">
        <v>76</v>
      </c>
    </row>
    <row r="21" customFormat="false" ht="35.05" hidden="false" customHeight="false" outlineLevel="0" collapsed="false">
      <c r="A21" s="6" t="s">
        <v>48</v>
      </c>
      <c r="B21" s="6" t="s">
        <v>151</v>
      </c>
      <c r="C21" s="6" t="s">
        <v>152</v>
      </c>
      <c r="D21" s="6" t="s">
        <v>144</v>
      </c>
      <c r="E21" s="6" t="n">
        <v>4</v>
      </c>
      <c r="F21" s="6" t="s">
        <v>50</v>
      </c>
      <c r="G21" s="7" t="s">
        <v>153</v>
      </c>
      <c r="H21" s="7" t="s">
        <v>154</v>
      </c>
      <c r="I21" s="7" t="s">
        <v>76</v>
      </c>
    </row>
    <row r="22" customFormat="false" ht="35.05" hidden="false" customHeight="false" outlineLevel="0" collapsed="false">
      <c r="A22" s="6" t="s">
        <v>48</v>
      </c>
      <c r="B22" s="6" t="s">
        <v>155</v>
      </c>
      <c r="C22" s="6" t="s">
        <v>156</v>
      </c>
      <c r="D22" s="6" t="s">
        <v>144</v>
      </c>
      <c r="E22" s="6" t="n">
        <v>4</v>
      </c>
      <c r="F22" s="6" t="s">
        <v>50</v>
      </c>
      <c r="G22" s="7" t="s">
        <v>157</v>
      </c>
      <c r="H22" s="7" t="s">
        <v>158</v>
      </c>
      <c r="I22" s="7" t="s">
        <v>76</v>
      </c>
    </row>
    <row r="23" customFormat="false" ht="35.05" hidden="false" customHeight="false" outlineLevel="0" collapsed="false">
      <c r="A23" s="6" t="s">
        <v>48</v>
      </c>
      <c r="B23" s="6" t="s">
        <v>159</v>
      </c>
      <c r="C23" s="6" t="s">
        <v>160</v>
      </c>
      <c r="D23" s="6" t="s">
        <v>144</v>
      </c>
      <c r="E23" s="6" t="n">
        <v>4</v>
      </c>
      <c r="F23" s="6" t="s">
        <v>50</v>
      </c>
      <c r="G23" s="7" t="s">
        <v>161</v>
      </c>
      <c r="H23" s="7" t="s">
        <v>162</v>
      </c>
      <c r="I23" s="7" t="s">
        <v>76</v>
      </c>
    </row>
    <row r="24" customFormat="false" ht="35.05" hidden="false" customHeight="false" outlineLevel="0" collapsed="false">
      <c r="A24" s="6" t="s">
        <v>48</v>
      </c>
      <c r="B24" s="6" t="s">
        <v>163</v>
      </c>
      <c r="C24" s="6" t="s">
        <v>164</v>
      </c>
      <c r="D24" s="6" t="s">
        <v>144</v>
      </c>
      <c r="E24" s="6" t="n">
        <v>4</v>
      </c>
      <c r="F24" s="6" t="s">
        <v>50</v>
      </c>
      <c r="G24" s="7" t="s">
        <v>165</v>
      </c>
      <c r="H24" s="7" t="s">
        <v>166</v>
      </c>
      <c r="I24" s="7" t="s">
        <v>76</v>
      </c>
    </row>
    <row r="25" customFormat="false" ht="35.05" hidden="false" customHeight="false" outlineLevel="0" collapsed="false">
      <c r="A25" s="6" t="s">
        <v>48</v>
      </c>
      <c r="B25" s="6" t="s">
        <v>167</v>
      </c>
      <c r="C25" s="6" t="s">
        <v>168</v>
      </c>
      <c r="D25" s="6" t="s">
        <v>144</v>
      </c>
      <c r="E25" s="6" t="n">
        <v>4</v>
      </c>
      <c r="F25" s="6" t="s">
        <v>50</v>
      </c>
      <c r="G25" s="7" t="s">
        <v>169</v>
      </c>
      <c r="H25" s="7" t="s">
        <v>170</v>
      </c>
      <c r="I25" s="7" t="s">
        <v>76</v>
      </c>
    </row>
    <row r="26" customFormat="false" ht="35.05" hidden="false" customHeight="false" outlineLevel="0" collapsed="false">
      <c r="A26" s="6" t="s">
        <v>48</v>
      </c>
      <c r="B26" s="6" t="s">
        <v>171</v>
      </c>
      <c r="C26" s="6" t="s">
        <v>172</v>
      </c>
      <c r="D26" s="6" t="s">
        <v>144</v>
      </c>
      <c r="E26" s="6" t="n">
        <v>4</v>
      </c>
      <c r="F26" s="6" t="s">
        <v>50</v>
      </c>
      <c r="G26" s="7" t="s">
        <v>173</v>
      </c>
      <c r="H26" s="7" t="s">
        <v>174</v>
      </c>
      <c r="I26" s="7" t="s">
        <v>76</v>
      </c>
    </row>
    <row r="27" customFormat="false" ht="35.05" hidden="false" customHeight="false" outlineLevel="0" collapsed="false">
      <c r="A27" s="6" t="s">
        <v>48</v>
      </c>
      <c r="B27" s="6" t="s">
        <v>175</v>
      </c>
      <c r="C27" s="6" t="s">
        <v>176</v>
      </c>
      <c r="D27" s="6" t="s">
        <v>144</v>
      </c>
      <c r="E27" s="6" t="n">
        <v>4</v>
      </c>
      <c r="F27" s="6" t="s">
        <v>50</v>
      </c>
      <c r="G27" s="7" t="s">
        <v>177</v>
      </c>
      <c r="H27" s="7" t="s">
        <v>178</v>
      </c>
      <c r="I27" s="7" t="s">
        <v>76</v>
      </c>
    </row>
    <row r="28" customFormat="false" ht="35.05" hidden="false" customHeight="false" outlineLevel="0" collapsed="false">
      <c r="A28" s="6" t="s">
        <v>48</v>
      </c>
      <c r="B28" s="6" t="s">
        <v>179</v>
      </c>
      <c r="C28" s="6" t="s">
        <v>180</v>
      </c>
      <c r="D28" s="6" t="s">
        <v>181</v>
      </c>
      <c r="E28" s="6" t="n">
        <v>4</v>
      </c>
      <c r="F28" s="6" t="s">
        <v>50</v>
      </c>
      <c r="G28" s="7" t="s">
        <v>182</v>
      </c>
      <c r="H28" s="7" t="s">
        <v>183</v>
      </c>
      <c r="I28" s="7" t="s">
        <v>76</v>
      </c>
    </row>
    <row r="29" customFormat="false" ht="35.05" hidden="false" customHeight="false" outlineLevel="0" collapsed="false">
      <c r="A29" s="6" t="s">
        <v>48</v>
      </c>
      <c r="B29" s="6" t="s">
        <v>184</v>
      </c>
      <c r="C29" s="6" t="s">
        <v>185</v>
      </c>
      <c r="D29" s="6" t="s">
        <v>181</v>
      </c>
      <c r="E29" s="6" t="n">
        <v>4</v>
      </c>
      <c r="F29" s="6" t="s">
        <v>50</v>
      </c>
      <c r="G29" s="7" t="s">
        <v>186</v>
      </c>
      <c r="H29" s="7" t="s">
        <v>187</v>
      </c>
      <c r="I29" s="7" t="s">
        <v>76</v>
      </c>
    </row>
    <row r="30" customFormat="false" ht="35.05" hidden="false" customHeight="false" outlineLevel="0" collapsed="false">
      <c r="A30" s="6" t="s">
        <v>48</v>
      </c>
      <c r="B30" s="6" t="s">
        <v>188</v>
      </c>
      <c r="C30" s="6" t="s">
        <v>189</v>
      </c>
      <c r="D30" s="6" t="s">
        <v>181</v>
      </c>
      <c r="E30" s="6" t="n">
        <v>4</v>
      </c>
      <c r="F30" s="6" t="s">
        <v>50</v>
      </c>
      <c r="G30" s="7" t="s">
        <v>190</v>
      </c>
      <c r="H30" s="7" t="s">
        <v>191</v>
      </c>
      <c r="I30" s="7" t="s">
        <v>76</v>
      </c>
    </row>
    <row r="31" customFormat="false" ht="35.05" hidden="false" customHeight="false" outlineLevel="0" collapsed="false">
      <c r="A31" s="6" t="s">
        <v>48</v>
      </c>
      <c r="B31" s="6" t="s">
        <v>192</v>
      </c>
      <c r="C31" s="6" t="s">
        <v>193</v>
      </c>
      <c r="D31" s="6" t="s">
        <v>181</v>
      </c>
      <c r="E31" s="6" t="n">
        <v>4</v>
      </c>
      <c r="F31" s="6" t="s">
        <v>50</v>
      </c>
      <c r="G31" s="7" t="s">
        <v>194</v>
      </c>
      <c r="H31" s="7" t="s">
        <v>195</v>
      </c>
      <c r="I31" s="7" t="s">
        <v>76</v>
      </c>
    </row>
    <row r="32" customFormat="false" ht="35.05" hidden="false" customHeight="false" outlineLevel="0" collapsed="false">
      <c r="A32" s="6" t="s">
        <v>48</v>
      </c>
      <c r="B32" s="6" t="s">
        <v>196</v>
      </c>
      <c r="C32" s="6" t="s">
        <v>197</v>
      </c>
      <c r="D32" s="6" t="s">
        <v>181</v>
      </c>
      <c r="E32" s="6" t="n">
        <v>4</v>
      </c>
      <c r="F32" s="6" t="s">
        <v>50</v>
      </c>
      <c r="G32" s="7" t="s">
        <v>198</v>
      </c>
      <c r="H32" s="7" t="s">
        <v>199</v>
      </c>
      <c r="I32" s="7" t="s">
        <v>76</v>
      </c>
    </row>
    <row r="33" customFormat="false" ht="35.05" hidden="false" customHeight="false" outlineLevel="0" collapsed="false">
      <c r="A33" s="6" t="s">
        <v>48</v>
      </c>
      <c r="B33" s="6" t="s">
        <v>200</v>
      </c>
      <c r="C33" s="6" t="s">
        <v>201</v>
      </c>
      <c r="D33" s="6" t="s">
        <v>181</v>
      </c>
      <c r="E33" s="6" t="n">
        <v>4</v>
      </c>
      <c r="F33" s="6" t="s">
        <v>50</v>
      </c>
      <c r="G33" s="7" t="s">
        <v>202</v>
      </c>
      <c r="H33" s="7" t="s">
        <v>203</v>
      </c>
      <c r="I33" s="7" t="s">
        <v>76</v>
      </c>
    </row>
    <row r="34" customFormat="false" ht="35.05" hidden="false" customHeight="false" outlineLevel="0" collapsed="false">
      <c r="A34" s="6" t="s">
        <v>48</v>
      </c>
      <c r="B34" s="6" t="s">
        <v>204</v>
      </c>
      <c r="C34" s="6" t="s">
        <v>205</v>
      </c>
      <c r="D34" s="6" t="s">
        <v>181</v>
      </c>
      <c r="E34" s="6" t="n">
        <v>4</v>
      </c>
      <c r="F34" s="6" t="s">
        <v>50</v>
      </c>
      <c r="G34" s="7" t="s">
        <v>206</v>
      </c>
      <c r="H34" s="7" t="s">
        <v>207</v>
      </c>
      <c r="I34" s="7" t="s">
        <v>76</v>
      </c>
    </row>
    <row r="35" customFormat="false" ht="35.05" hidden="false" customHeight="false" outlineLevel="0" collapsed="false">
      <c r="A35" s="6" t="s">
        <v>48</v>
      </c>
      <c r="B35" s="6" t="s">
        <v>208</v>
      </c>
      <c r="C35" s="6" t="s">
        <v>209</v>
      </c>
      <c r="D35" s="6" t="s">
        <v>181</v>
      </c>
      <c r="E35" s="6" t="n">
        <v>4</v>
      </c>
      <c r="F35" s="6" t="s">
        <v>50</v>
      </c>
      <c r="G35" s="7" t="s">
        <v>210</v>
      </c>
      <c r="H35" s="7" t="s">
        <v>211</v>
      </c>
      <c r="I35" s="7" t="s">
        <v>76</v>
      </c>
    </row>
    <row r="36" customFormat="false" ht="35.05" hidden="false" customHeight="false" outlineLevel="0" collapsed="false">
      <c r="A36" s="6" t="s">
        <v>48</v>
      </c>
      <c r="B36" s="6" t="s">
        <v>212</v>
      </c>
      <c r="C36" s="6" t="s">
        <v>213</v>
      </c>
      <c r="D36" s="6" t="s">
        <v>214</v>
      </c>
      <c r="E36" s="6" t="n">
        <v>4</v>
      </c>
      <c r="F36" s="6" t="s">
        <v>50</v>
      </c>
      <c r="G36" s="7" t="s">
        <v>215</v>
      </c>
      <c r="H36" s="7" t="s">
        <v>216</v>
      </c>
      <c r="I36" s="7" t="s">
        <v>76</v>
      </c>
    </row>
    <row r="37" customFormat="false" ht="35.05" hidden="false" customHeight="false" outlineLevel="0" collapsed="false">
      <c r="A37" s="6" t="s">
        <v>48</v>
      </c>
      <c r="B37" s="6" t="s">
        <v>217</v>
      </c>
      <c r="C37" s="6" t="s">
        <v>218</v>
      </c>
      <c r="D37" s="6" t="s">
        <v>214</v>
      </c>
      <c r="E37" s="6" t="n">
        <v>4</v>
      </c>
      <c r="F37" s="6" t="s">
        <v>50</v>
      </c>
      <c r="G37" s="7" t="s">
        <v>219</v>
      </c>
      <c r="H37" s="7" t="s">
        <v>220</v>
      </c>
      <c r="I37" s="7" t="s">
        <v>76</v>
      </c>
    </row>
    <row r="38" customFormat="false" ht="35.05" hidden="false" customHeight="false" outlineLevel="0" collapsed="false">
      <c r="A38" s="6" t="s">
        <v>48</v>
      </c>
      <c r="B38" s="6" t="s">
        <v>221</v>
      </c>
      <c r="C38" s="6" t="s">
        <v>222</v>
      </c>
      <c r="D38" s="6" t="s">
        <v>214</v>
      </c>
      <c r="E38" s="6" t="n">
        <v>4</v>
      </c>
      <c r="F38" s="6" t="s">
        <v>50</v>
      </c>
      <c r="G38" s="7" t="s">
        <v>223</v>
      </c>
      <c r="H38" s="7" t="s">
        <v>224</v>
      </c>
      <c r="I38" s="7" t="s">
        <v>76</v>
      </c>
    </row>
    <row r="39" customFormat="false" ht="35.05" hidden="false" customHeight="false" outlineLevel="0" collapsed="false">
      <c r="A39" s="6" t="s">
        <v>48</v>
      </c>
      <c r="B39" s="6" t="s">
        <v>225</v>
      </c>
      <c r="C39" s="6" t="s">
        <v>226</v>
      </c>
      <c r="D39" s="6" t="s">
        <v>214</v>
      </c>
      <c r="E39" s="6" t="n">
        <v>4</v>
      </c>
      <c r="F39" s="6" t="s">
        <v>50</v>
      </c>
      <c r="G39" s="7" t="s">
        <v>227</v>
      </c>
      <c r="H39" s="7" t="s">
        <v>228</v>
      </c>
      <c r="I39" s="7" t="s">
        <v>76</v>
      </c>
    </row>
    <row r="40" customFormat="false" ht="35.05" hidden="false" customHeight="false" outlineLevel="0" collapsed="false">
      <c r="A40" s="6" t="s">
        <v>48</v>
      </c>
      <c r="B40" s="6" t="s">
        <v>229</v>
      </c>
      <c r="C40" s="6" t="s">
        <v>230</v>
      </c>
      <c r="D40" s="6" t="s">
        <v>214</v>
      </c>
      <c r="E40" s="6" t="n">
        <v>4</v>
      </c>
      <c r="F40" s="6" t="s">
        <v>50</v>
      </c>
      <c r="G40" s="7" t="s">
        <v>231</v>
      </c>
      <c r="H40" s="7" t="s">
        <v>232</v>
      </c>
      <c r="I40" s="7" t="s">
        <v>76</v>
      </c>
    </row>
    <row r="41" customFormat="false" ht="35.05" hidden="false" customHeight="false" outlineLevel="0" collapsed="false">
      <c r="A41" s="6" t="s">
        <v>48</v>
      </c>
      <c r="B41" s="6" t="s">
        <v>233</v>
      </c>
      <c r="C41" s="6" t="s">
        <v>234</v>
      </c>
      <c r="D41" s="6" t="s">
        <v>214</v>
      </c>
      <c r="E41" s="6" t="n">
        <v>4</v>
      </c>
      <c r="F41" s="6" t="s">
        <v>50</v>
      </c>
      <c r="G41" s="7" t="s">
        <v>235</v>
      </c>
      <c r="H41" s="7" t="s">
        <v>236</v>
      </c>
      <c r="I41" s="7" t="s">
        <v>76</v>
      </c>
    </row>
    <row r="42" customFormat="false" ht="35.05" hidden="false" customHeight="false" outlineLevel="0" collapsed="false">
      <c r="A42" s="6" t="s">
        <v>48</v>
      </c>
      <c r="B42" s="6" t="s">
        <v>237</v>
      </c>
      <c r="C42" s="6" t="s">
        <v>238</v>
      </c>
      <c r="D42" s="6" t="s">
        <v>214</v>
      </c>
      <c r="E42" s="6" t="n">
        <v>4</v>
      </c>
      <c r="F42" s="6" t="s">
        <v>50</v>
      </c>
      <c r="G42" s="7" t="s">
        <v>239</v>
      </c>
      <c r="H42" s="7" t="s">
        <v>240</v>
      </c>
      <c r="I42" s="7" t="s">
        <v>76</v>
      </c>
    </row>
    <row r="43" customFormat="false" ht="46.25" hidden="false" customHeight="false" outlineLevel="0" collapsed="false">
      <c r="A43" s="6" t="s">
        <v>53</v>
      </c>
      <c r="B43" s="6" t="s">
        <v>241</v>
      </c>
      <c r="C43" s="6" t="s">
        <v>242</v>
      </c>
      <c r="D43" s="6" t="s">
        <v>73</v>
      </c>
      <c r="E43" s="6" t="n">
        <v>5</v>
      </c>
      <c r="F43" s="6" t="s">
        <v>50</v>
      </c>
      <c r="G43" s="7" t="s">
        <v>74</v>
      </c>
      <c r="H43" s="7" t="s">
        <v>75</v>
      </c>
      <c r="I43" s="7" t="s">
        <v>76</v>
      </c>
    </row>
    <row r="44" customFormat="false" ht="35.05" hidden="false" customHeight="false" outlineLevel="0" collapsed="false">
      <c r="A44" s="6" t="s">
        <v>53</v>
      </c>
      <c r="B44" s="6" t="s">
        <v>243</v>
      </c>
      <c r="C44" s="6" t="s">
        <v>244</v>
      </c>
      <c r="D44" s="6" t="s">
        <v>73</v>
      </c>
      <c r="E44" s="6" t="n">
        <v>5</v>
      </c>
      <c r="F44" s="6" t="s">
        <v>50</v>
      </c>
      <c r="G44" s="7" t="s">
        <v>245</v>
      </c>
      <c r="H44" s="7" t="s">
        <v>246</v>
      </c>
      <c r="I44" s="7" t="s">
        <v>76</v>
      </c>
    </row>
    <row r="45" customFormat="false" ht="35.05" hidden="false" customHeight="false" outlineLevel="0" collapsed="false">
      <c r="A45" s="6" t="s">
        <v>53</v>
      </c>
      <c r="B45" s="6" t="s">
        <v>247</v>
      </c>
      <c r="C45" s="6" t="s">
        <v>248</v>
      </c>
      <c r="D45" s="6" t="s">
        <v>73</v>
      </c>
      <c r="E45" s="6" t="n">
        <v>5</v>
      </c>
      <c r="F45" s="6" t="s">
        <v>50</v>
      </c>
      <c r="G45" s="7" t="s">
        <v>249</v>
      </c>
      <c r="H45" s="7" t="s">
        <v>250</v>
      </c>
      <c r="I45" s="7" t="s">
        <v>76</v>
      </c>
    </row>
    <row r="46" customFormat="false" ht="35.05" hidden="false" customHeight="false" outlineLevel="0" collapsed="false">
      <c r="A46" s="6" t="s">
        <v>53</v>
      </c>
      <c r="B46" s="6" t="s">
        <v>251</v>
      </c>
      <c r="C46" s="6" t="s">
        <v>252</v>
      </c>
      <c r="D46" s="6" t="s">
        <v>73</v>
      </c>
      <c r="E46" s="6" t="n">
        <v>4</v>
      </c>
      <c r="F46" s="6" t="s">
        <v>50</v>
      </c>
      <c r="G46" s="7" t="s">
        <v>83</v>
      </c>
      <c r="H46" s="7" t="s">
        <v>84</v>
      </c>
      <c r="I46" s="7" t="s">
        <v>76</v>
      </c>
    </row>
    <row r="47" customFormat="false" ht="35.05" hidden="false" customHeight="false" outlineLevel="0" collapsed="false">
      <c r="A47" s="6" t="s">
        <v>53</v>
      </c>
      <c r="B47" s="6" t="s">
        <v>253</v>
      </c>
      <c r="C47" s="6" t="s">
        <v>254</v>
      </c>
      <c r="D47" s="6" t="s">
        <v>73</v>
      </c>
      <c r="E47" s="6" t="n">
        <v>5</v>
      </c>
      <c r="F47" s="6" t="s">
        <v>50</v>
      </c>
      <c r="G47" s="7" t="s">
        <v>255</v>
      </c>
      <c r="H47" s="7" t="s">
        <v>256</v>
      </c>
      <c r="I47" s="7" t="s">
        <v>76</v>
      </c>
    </row>
    <row r="48" customFormat="false" ht="35.05" hidden="false" customHeight="false" outlineLevel="0" collapsed="false">
      <c r="A48" s="6" t="s">
        <v>53</v>
      </c>
      <c r="B48" s="6" t="s">
        <v>257</v>
      </c>
      <c r="C48" s="6" t="s">
        <v>258</v>
      </c>
      <c r="D48" s="6" t="s">
        <v>73</v>
      </c>
      <c r="E48" s="6" t="n">
        <v>4</v>
      </c>
      <c r="F48" s="6" t="s">
        <v>50</v>
      </c>
      <c r="G48" s="7" t="s">
        <v>91</v>
      </c>
      <c r="H48" s="7" t="s">
        <v>92</v>
      </c>
      <c r="I48" s="7" t="s">
        <v>76</v>
      </c>
    </row>
    <row r="49" customFormat="false" ht="35.05" hidden="false" customHeight="false" outlineLevel="0" collapsed="false">
      <c r="A49" s="6" t="s">
        <v>53</v>
      </c>
      <c r="B49" s="6" t="s">
        <v>259</v>
      </c>
      <c r="C49" s="6" t="s">
        <v>86</v>
      </c>
      <c r="D49" s="6" t="s">
        <v>73</v>
      </c>
      <c r="E49" s="6" t="n">
        <v>4</v>
      </c>
      <c r="F49" s="6" t="s">
        <v>50</v>
      </c>
      <c r="G49" s="7" t="s">
        <v>87</v>
      </c>
      <c r="H49" s="7" t="s">
        <v>88</v>
      </c>
      <c r="I49" s="7" t="s">
        <v>76</v>
      </c>
    </row>
    <row r="50" customFormat="false" ht="35.05" hidden="false" customHeight="false" outlineLevel="0" collapsed="false">
      <c r="A50" s="6" t="s">
        <v>53</v>
      </c>
      <c r="B50" s="6" t="s">
        <v>260</v>
      </c>
      <c r="C50" s="6" t="s">
        <v>261</v>
      </c>
      <c r="D50" s="6" t="s">
        <v>73</v>
      </c>
      <c r="E50" s="6" t="n">
        <v>4</v>
      </c>
      <c r="F50" s="6" t="s">
        <v>50</v>
      </c>
      <c r="G50" s="7" t="s">
        <v>111</v>
      </c>
      <c r="H50" s="7" t="s">
        <v>112</v>
      </c>
      <c r="I50" s="7" t="s">
        <v>76</v>
      </c>
    </row>
    <row r="51" customFormat="false" ht="35.05" hidden="false" customHeight="false" outlineLevel="0" collapsed="false">
      <c r="A51" s="6" t="s">
        <v>53</v>
      </c>
      <c r="B51" s="6" t="s">
        <v>262</v>
      </c>
      <c r="C51" s="6" t="s">
        <v>263</v>
      </c>
      <c r="D51" s="6" t="s">
        <v>73</v>
      </c>
      <c r="E51" s="6" t="n">
        <v>4</v>
      </c>
      <c r="F51" s="6" t="s">
        <v>50</v>
      </c>
      <c r="G51" s="7" t="s">
        <v>107</v>
      </c>
      <c r="H51" s="7" t="s">
        <v>108</v>
      </c>
      <c r="I51" s="7" t="s">
        <v>76</v>
      </c>
    </row>
    <row r="52" customFormat="false" ht="35.05" hidden="false" customHeight="false" outlineLevel="0" collapsed="false">
      <c r="A52" s="6" t="s">
        <v>53</v>
      </c>
      <c r="B52" s="6" t="s">
        <v>264</v>
      </c>
      <c r="C52" s="6" t="s">
        <v>265</v>
      </c>
      <c r="D52" s="6" t="s">
        <v>73</v>
      </c>
      <c r="E52" s="6" t="n">
        <v>4</v>
      </c>
      <c r="F52" s="6" t="s">
        <v>50</v>
      </c>
      <c r="G52" s="7" t="s">
        <v>266</v>
      </c>
      <c r="H52" s="7" t="s">
        <v>267</v>
      </c>
      <c r="I52" s="7" t="s">
        <v>76</v>
      </c>
    </row>
    <row r="53" customFormat="false" ht="35.05" hidden="false" customHeight="false" outlineLevel="0" collapsed="false">
      <c r="A53" s="6" t="s">
        <v>53</v>
      </c>
      <c r="B53" s="6" t="s">
        <v>268</v>
      </c>
      <c r="C53" s="6" t="s">
        <v>269</v>
      </c>
      <c r="D53" s="6" t="s">
        <v>73</v>
      </c>
      <c r="E53" s="6" t="n">
        <v>4</v>
      </c>
      <c r="F53" s="6" t="s">
        <v>50</v>
      </c>
      <c r="G53" s="7" t="s">
        <v>270</v>
      </c>
      <c r="H53" s="7" t="s">
        <v>271</v>
      </c>
      <c r="I53" s="7" t="s">
        <v>76</v>
      </c>
    </row>
    <row r="54" customFormat="false" ht="35.05" hidden="false" customHeight="false" outlineLevel="0" collapsed="false">
      <c r="A54" s="6" t="s">
        <v>53</v>
      </c>
      <c r="B54" s="6" t="s">
        <v>272</v>
      </c>
      <c r="C54" s="6" t="s">
        <v>273</v>
      </c>
      <c r="D54" s="6" t="s">
        <v>119</v>
      </c>
      <c r="E54" s="6" t="n">
        <v>4</v>
      </c>
      <c r="F54" s="6" t="s">
        <v>50</v>
      </c>
      <c r="G54" s="7" t="s">
        <v>120</v>
      </c>
      <c r="H54" s="7" t="s">
        <v>121</v>
      </c>
      <c r="I54" s="7" t="s">
        <v>76</v>
      </c>
    </row>
    <row r="55" customFormat="false" ht="35.05" hidden="false" customHeight="false" outlineLevel="0" collapsed="false">
      <c r="A55" s="6" t="s">
        <v>53</v>
      </c>
      <c r="B55" s="6" t="s">
        <v>274</v>
      </c>
      <c r="C55" s="6" t="s">
        <v>275</v>
      </c>
      <c r="D55" s="6" t="s">
        <v>119</v>
      </c>
      <c r="E55" s="6" t="n">
        <v>4</v>
      </c>
      <c r="F55" s="6" t="s">
        <v>50</v>
      </c>
      <c r="G55" s="7" t="s">
        <v>124</v>
      </c>
      <c r="H55" s="7" t="s">
        <v>125</v>
      </c>
      <c r="I55" s="7" t="s">
        <v>76</v>
      </c>
    </row>
    <row r="56" customFormat="false" ht="35.05" hidden="false" customHeight="false" outlineLevel="0" collapsed="false">
      <c r="A56" s="6" t="s">
        <v>53</v>
      </c>
      <c r="B56" s="6" t="s">
        <v>276</v>
      </c>
      <c r="C56" s="6" t="s">
        <v>277</v>
      </c>
      <c r="D56" s="6" t="s">
        <v>119</v>
      </c>
      <c r="E56" s="6" t="n">
        <v>4</v>
      </c>
      <c r="F56" s="6" t="s">
        <v>50</v>
      </c>
      <c r="G56" s="7" t="s">
        <v>128</v>
      </c>
      <c r="H56" s="7" t="s">
        <v>129</v>
      </c>
      <c r="I56" s="7" t="s">
        <v>76</v>
      </c>
    </row>
    <row r="57" customFormat="false" ht="35.05" hidden="false" customHeight="false" outlineLevel="0" collapsed="false">
      <c r="A57" s="6" t="s">
        <v>53</v>
      </c>
      <c r="B57" s="6" t="s">
        <v>278</v>
      </c>
      <c r="C57" s="6" t="s">
        <v>279</v>
      </c>
      <c r="D57" s="6" t="s">
        <v>119</v>
      </c>
      <c r="E57" s="6" t="n">
        <v>4</v>
      </c>
      <c r="F57" s="6" t="s">
        <v>50</v>
      </c>
      <c r="G57" s="7" t="s">
        <v>132</v>
      </c>
      <c r="H57" s="7" t="s">
        <v>133</v>
      </c>
      <c r="I57" s="7" t="s">
        <v>76</v>
      </c>
    </row>
    <row r="58" customFormat="false" ht="35.05" hidden="false" customHeight="false" outlineLevel="0" collapsed="false">
      <c r="A58" s="6" t="s">
        <v>53</v>
      </c>
      <c r="B58" s="6" t="s">
        <v>280</v>
      </c>
      <c r="C58" s="6" t="s">
        <v>281</v>
      </c>
      <c r="D58" s="6" t="s">
        <v>119</v>
      </c>
      <c r="E58" s="6" t="n">
        <v>4</v>
      </c>
      <c r="F58" s="6" t="s">
        <v>50</v>
      </c>
      <c r="G58" s="7" t="s">
        <v>136</v>
      </c>
      <c r="H58" s="7" t="s">
        <v>137</v>
      </c>
      <c r="I58" s="7" t="s">
        <v>76</v>
      </c>
    </row>
    <row r="59" customFormat="false" ht="35.05" hidden="false" customHeight="false" outlineLevel="0" collapsed="false">
      <c r="A59" s="6" t="s">
        <v>53</v>
      </c>
      <c r="B59" s="6" t="s">
        <v>282</v>
      </c>
      <c r="C59" s="6" t="s">
        <v>283</v>
      </c>
      <c r="D59" s="6" t="s">
        <v>119</v>
      </c>
      <c r="E59" s="6" t="n">
        <v>4</v>
      </c>
      <c r="F59" s="6" t="s">
        <v>50</v>
      </c>
      <c r="G59" s="7" t="s">
        <v>284</v>
      </c>
      <c r="H59" s="7" t="s">
        <v>285</v>
      </c>
      <c r="I59" s="7" t="s">
        <v>76</v>
      </c>
    </row>
    <row r="60" customFormat="false" ht="35.05" hidden="false" customHeight="false" outlineLevel="0" collapsed="false">
      <c r="A60" s="6" t="s">
        <v>53</v>
      </c>
      <c r="B60" s="6" t="s">
        <v>286</v>
      </c>
      <c r="C60" s="6" t="s">
        <v>287</v>
      </c>
      <c r="D60" s="6" t="s">
        <v>144</v>
      </c>
      <c r="E60" s="6" t="n">
        <v>4</v>
      </c>
      <c r="F60" s="6" t="s">
        <v>50</v>
      </c>
      <c r="G60" s="7" t="s">
        <v>145</v>
      </c>
      <c r="H60" s="7" t="s">
        <v>146</v>
      </c>
      <c r="I60" s="7" t="s">
        <v>76</v>
      </c>
    </row>
    <row r="61" customFormat="false" ht="35.05" hidden="false" customHeight="false" outlineLevel="0" collapsed="false">
      <c r="A61" s="6" t="s">
        <v>53</v>
      </c>
      <c r="B61" s="6" t="s">
        <v>288</v>
      </c>
      <c r="C61" s="6" t="s">
        <v>289</v>
      </c>
      <c r="D61" s="6" t="s">
        <v>144</v>
      </c>
      <c r="E61" s="6" t="n">
        <v>4</v>
      </c>
      <c r="F61" s="6" t="s">
        <v>50</v>
      </c>
      <c r="G61" s="7" t="s">
        <v>290</v>
      </c>
      <c r="H61" s="7" t="s">
        <v>291</v>
      </c>
      <c r="I61" s="7" t="s">
        <v>76</v>
      </c>
    </row>
    <row r="62" customFormat="false" ht="35.05" hidden="false" customHeight="false" outlineLevel="0" collapsed="false">
      <c r="A62" s="6" t="s">
        <v>53</v>
      </c>
      <c r="B62" s="6" t="s">
        <v>292</v>
      </c>
      <c r="C62" s="6" t="s">
        <v>293</v>
      </c>
      <c r="D62" s="6" t="s">
        <v>144</v>
      </c>
      <c r="E62" s="6" t="n">
        <v>4</v>
      </c>
      <c r="F62" s="6" t="s">
        <v>50</v>
      </c>
      <c r="G62" s="7" t="s">
        <v>153</v>
      </c>
      <c r="H62" s="7" t="s">
        <v>154</v>
      </c>
      <c r="I62" s="7" t="s">
        <v>76</v>
      </c>
    </row>
    <row r="63" customFormat="false" ht="35.05" hidden="false" customHeight="false" outlineLevel="0" collapsed="false">
      <c r="A63" s="6" t="s">
        <v>53</v>
      </c>
      <c r="B63" s="6" t="s">
        <v>294</v>
      </c>
      <c r="C63" s="6" t="s">
        <v>172</v>
      </c>
      <c r="D63" s="6" t="s">
        <v>144</v>
      </c>
      <c r="E63" s="6" t="n">
        <v>4</v>
      </c>
      <c r="F63" s="6" t="s">
        <v>50</v>
      </c>
      <c r="G63" s="7" t="s">
        <v>173</v>
      </c>
      <c r="H63" s="7" t="s">
        <v>174</v>
      </c>
      <c r="I63" s="7" t="s">
        <v>76</v>
      </c>
    </row>
    <row r="64" customFormat="false" ht="35.05" hidden="false" customHeight="false" outlineLevel="0" collapsed="false">
      <c r="A64" s="6" t="s">
        <v>53</v>
      </c>
      <c r="B64" s="6" t="s">
        <v>295</v>
      </c>
      <c r="C64" s="6" t="s">
        <v>164</v>
      </c>
      <c r="D64" s="6" t="s">
        <v>144</v>
      </c>
      <c r="E64" s="6" t="n">
        <v>4</v>
      </c>
      <c r="F64" s="6" t="s">
        <v>50</v>
      </c>
      <c r="G64" s="7" t="s">
        <v>165</v>
      </c>
      <c r="H64" s="7" t="s">
        <v>166</v>
      </c>
      <c r="I64" s="7" t="s">
        <v>76</v>
      </c>
    </row>
    <row r="65" customFormat="false" ht="35.05" hidden="false" customHeight="false" outlineLevel="0" collapsed="false">
      <c r="A65" s="6" t="s">
        <v>53</v>
      </c>
      <c r="B65" s="6" t="s">
        <v>296</v>
      </c>
      <c r="C65" s="6" t="s">
        <v>297</v>
      </c>
      <c r="D65" s="6" t="s">
        <v>144</v>
      </c>
      <c r="E65" s="6" t="n">
        <v>4</v>
      </c>
      <c r="F65" s="6" t="s">
        <v>50</v>
      </c>
      <c r="G65" s="7" t="s">
        <v>298</v>
      </c>
      <c r="H65" s="7" t="s">
        <v>299</v>
      </c>
      <c r="I65" s="7" t="s">
        <v>76</v>
      </c>
    </row>
    <row r="66" customFormat="false" ht="35.05" hidden="false" customHeight="false" outlineLevel="0" collapsed="false">
      <c r="A66" s="6" t="s">
        <v>53</v>
      </c>
      <c r="B66" s="6" t="s">
        <v>300</v>
      </c>
      <c r="C66" s="6" t="s">
        <v>301</v>
      </c>
      <c r="D66" s="6" t="s">
        <v>181</v>
      </c>
      <c r="E66" s="6" t="n">
        <v>5</v>
      </c>
      <c r="F66" s="6" t="s">
        <v>50</v>
      </c>
      <c r="G66" s="7" t="s">
        <v>182</v>
      </c>
      <c r="H66" s="7" t="s">
        <v>183</v>
      </c>
      <c r="I66" s="7" t="s">
        <v>76</v>
      </c>
    </row>
    <row r="67" customFormat="false" ht="35.05" hidden="false" customHeight="false" outlineLevel="0" collapsed="false">
      <c r="A67" s="6" t="s">
        <v>53</v>
      </c>
      <c r="B67" s="6" t="s">
        <v>302</v>
      </c>
      <c r="C67" s="6" t="s">
        <v>303</v>
      </c>
      <c r="D67" s="6" t="s">
        <v>181</v>
      </c>
      <c r="E67" s="6" t="n">
        <v>4</v>
      </c>
      <c r="F67" s="6" t="s">
        <v>50</v>
      </c>
      <c r="G67" s="7" t="s">
        <v>186</v>
      </c>
      <c r="H67" s="7" t="s">
        <v>187</v>
      </c>
      <c r="I67" s="7" t="s">
        <v>76</v>
      </c>
    </row>
    <row r="68" customFormat="false" ht="35.05" hidden="false" customHeight="false" outlineLevel="0" collapsed="false">
      <c r="A68" s="6" t="s">
        <v>53</v>
      </c>
      <c r="B68" s="6" t="s">
        <v>304</v>
      </c>
      <c r="C68" s="6" t="s">
        <v>305</v>
      </c>
      <c r="D68" s="6" t="s">
        <v>181</v>
      </c>
      <c r="E68" s="6" t="n">
        <v>4</v>
      </c>
      <c r="F68" s="6" t="s">
        <v>50</v>
      </c>
      <c r="G68" s="7" t="s">
        <v>306</v>
      </c>
      <c r="H68" s="7" t="s">
        <v>307</v>
      </c>
      <c r="I68" s="7" t="s">
        <v>76</v>
      </c>
    </row>
    <row r="69" customFormat="false" ht="35.05" hidden="false" customHeight="false" outlineLevel="0" collapsed="false">
      <c r="A69" s="6" t="s">
        <v>53</v>
      </c>
      <c r="B69" s="6" t="s">
        <v>308</v>
      </c>
      <c r="C69" s="6" t="s">
        <v>309</v>
      </c>
      <c r="D69" s="6" t="s">
        <v>181</v>
      </c>
      <c r="E69" s="6" t="n">
        <v>5</v>
      </c>
      <c r="F69" s="6" t="s">
        <v>50</v>
      </c>
      <c r="G69" s="7" t="s">
        <v>310</v>
      </c>
      <c r="H69" s="7" t="s">
        <v>311</v>
      </c>
      <c r="I69" s="7" t="s">
        <v>76</v>
      </c>
    </row>
    <row r="70" customFormat="false" ht="35.05" hidden="false" customHeight="false" outlineLevel="0" collapsed="false">
      <c r="A70" s="6" t="s">
        <v>53</v>
      </c>
      <c r="B70" s="6" t="s">
        <v>312</v>
      </c>
      <c r="C70" s="6" t="s">
        <v>313</v>
      </c>
      <c r="D70" s="6" t="s">
        <v>181</v>
      </c>
      <c r="E70" s="6" t="n">
        <v>5</v>
      </c>
      <c r="F70" s="6" t="s">
        <v>50</v>
      </c>
      <c r="G70" s="7" t="s">
        <v>314</v>
      </c>
      <c r="H70" s="7" t="s">
        <v>315</v>
      </c>
      <c r="I70" s="7" t="s">
        <v>76</v>
      </c>
    </row>
    <row r="71" customFormat="false" ht="46.25" hidden="false" customHeight="false" outlineLevel="0" collapsed="false">
      <c r="A71" s="6" t="s">
        <v>53</v>
      </c>
      <c r="B71" s="6" t="s">
        <v>316</v>
      </c>
      <c r="C71" s="6" t="s">
        <v>317</v>
      </c>
      <c r="D71" s="6" t="s">
        <v>181</v>
      </c>
      <c r="E71" s="6" t="n">
        <v>5</v>
      </c>
      <c r="F71" s="6" t="s">
        <v>50</v>
      </c>
      <c r="G71" s="7" t="s">
        <v>318</v>
      </c>
      <c r="H71" s="7" t="s">
        <v>319</v>
      </c>
      <c r="I71" s="7" t="s">
        <v>76</v>
      </c>
    </row>
    <row r="72" customFormat="false" ht="35.05" hidden="false" customHeight="false" outlineLevel="0" collapsed="false">
      <c r="A72" s="6" t="s">
        <v>53</v>
      </c>
      <c r="B72" s="6" t="s">
        <v>320</v>
      </c>
      <c r="C72" s="6" t="s">
        <v>205</v>
      </c>
      <c r="D72" s="6" t="s">
        <v>181</v>
      </c>
      <c r="E72" s="6" t="n">
        <v>5</v>
      </c>
      <c r="F72" s="6" t="s">
        <v>50</v>
      </c>
      <c r="G72" s="7" t="s">
        <v>206</v>
      </c>
      <c r="H72" s="7" t="s">
        <v>207</v>
      </c>
      <c r="I72" s="7" t="s">
        <v>76</v>
      </c>
    </row>
    <row r="73" customFormat="false" ht="35.05" hidden="false" customHeight="false" outlineLevel="0" collapsed="false">
      <c r="A73" s="6" t="s">
        <v>53</v>
      </c>
      <c r="B73" s="6" t="s">
        <v>321</v>
      </c>
      <c r="C73" s="6" t="s">
        <v>209</v>
      </c>
      <c r="D73" s="6" t="s">
        <v>181</v>
      </c>
      <c r="E73" s="6" t="n">
        <v>5</v>
      </c>
      <c r="F73" s="6" t="s">
        <v>50</v>
      </c>
      <c r="G73" s="7" t="s">
        <v>210</v>
      </c>
      <c r="H73" s="7" t="s">
        <v>211</v>
      </c>
      <c r="I73" s="7" t="s">
        <v>76</v>
      </c>
    </row>
    <row r="74" customFormat="false" ht="35.05" hidden="false" customHeight="false" outlineLevel="0" collapsed="false">
      <c r="A74" s="6" t="s">
        <v>53</v>
      </c>
      <c r="B74" s="6" t="s">
        <v>322</v>
      </c>
      <c r="C74" s="6" t="s">
        <v>323</v>
      </c>
      <c r="D74" s="6" t="s">
        <v>214</v>
      </c>
      <c r="E74" s="6" t="n">
        <v>4</v>
      </c>
      <c r="F74" s="6" t="s">
        <v>50</v>
      </c>
      <c r="G74" s="7" t="s">
        <v>215</v>
      </c>
      <c r="H74" s="7" t="s">
        <v>216</v>
      </c>
      <c r="I74" s="7" t="s">
        <v>76</v>
      </c>
    </row>
    <row r="75" customFormat="false" ht="35.05" hidden="false" customHeight="false" outlineLevel="0" collapsed="false">
      <c r="A75" s="6" t="s">
        <v>53</v>
      </c>
      <c r="B75" s="6" t="s">
        <v>324</v>
      </c>
      <c r="C75" s="6" t="s">
        <v>325</v>
      </c>
      <c r="D75" s="6" t="s">
        <v>214</v>
      </c>
      <c r="E75" s="6" t="n">
        <v>4</v>
      </c>
      <c r="F75" s="6" t="s">
        <v>50</v>
      </c>
      <c r="G75" s="7" t="s">
        <v>219</v>
      </c>
      <c r="H75" s="7" t="s">
        <v>220</v>
      </c>
      <c r="I75" s="7" t="s">
        <v>76</v>
      </c>
    </row>
    <row r="76" customFormat="false" ht="35.05" hidden="false" customHeight="false" outlineLevel="0" collapsed="false">
      <c r="A76" s="6" t="s">
        <v>53</v>
      </c>
      <c r="B76" s="6" t="s">
        <v>326</v>
      </c>
      <c r="C76" s="6" t="s">
        <v>327</v>
      </c>
      <c r="D76" s="6" t="s">
        <v>214</v>
      </c>
      <c r="E76" s="6" t="n">
        <v>4</v>
      </c>
      <c r="F76" s="6" t="s">
        <v>50</v>
      </c>
      <c r="G76" s="7" t="s">
        <v>223</v>
      </c>
      <c r="H76" s="7" t="s">
        <v>224</v>
      </c>
      <c r="I76" s="7" t="s">
        <v>76</v>
      </c>
    </row>
    <row r="77" customFormat="false" ht="35.05" hidden="false" customHeight="false" outlineLevel="0" collapsed="false">
      <c r="A77" s="6" t="s">
        <v>53</v>
      </c>
      <c r="B77" s="6" t="s">
        <v>328</v>
      </c>
      <c r="C77" s="6" t="s">
        <v>226</v>
      </c>
      <c r="D77" s="6" t="s">
        <v>214</v>
      </c>
      <c r="E77" s="6" t="n">
        <v>4</v>
      </c>
      <c r="F77" s="6" t="s">
        <v>50</v>
      </c>
      <c r="G77" s="7" t="s">
        <v>227</v>
      </c>
      <c r="H77" s="7" t="s">
        <v>228</v>
      </c>
      <c r="I77" s="7" t="s">
        <v>76</v>
      </c>
    </row>
    <row r="78" customFormat="false" ht="35.05" hidden="false" customHeight="false" outlineLevel="0" collapsed="false">
      <c r="A78" s="6" t="s">
        <v>53</v>
      </c>
      <c r="B78" s="6" t="s">
        <v>329</v>
      </c>
      <c r="C78" s="6" t="s">
        <v>330</v>
      </c>
      <c r="D78" s="6" t="s">
        <v>214</v>
      </c>
      <c r="E78" s="6" t="n">
        <v>4</v>
      </c>
      <c r="F78" s="6" t="s">
        <v>50</v>
      </c>
      <c r="G78" s="7" t="s">
        <v>331</v>
      </c>
      <c r="H78" s="7" t="s">
        <v>332</v>
      </c>
      <c r="I78" s="7" t="s">
        <v>76</v>
      </c>
    </row>
    <row r="79" customFormat="false" ht="35.05" hidden="false" customHeight="false" outlineLevel="0" collapsed="false">
      <c r="A79" s="6" t="s">
        <v>53</v>
      </c>
      <c r="B79" s="6" t="s">
        <v>333</v>
      </c>
      <c r="C79" s="6" t="s">
        <v>334</v>
      </c>
      <c r="D79" s="6" t="s">
        <v>214</v>
      </c>
      <c r="E79" s="6" t="n">
        <v>4</v>
      </c>
      <c r="F79" s="6" t="s">
        <v>50</v>
      </c>
      <c r="G79" s="7" t="s">
        <v>335</v>
      </c>
      <c r="H79" s="7" t="s">
        <v>336</v>
      </c>
      <c r="I79" s="7" t="s">
        <v>76</v>
      </c>
    </row>
    <row r="80" customFormat="false" ht="35.05" hidden="false" customHeight="false" outlineLevel="0" collapsed="false">
      <c r="A80" s="6" t="s">
        <v>53</v>
      </c>
      <c r="B80" s="6" t="s">
        <v>337</v>
      </c>
      <c r="C80" s="6" t="s">
        <v>338</v>
      </c>
      <c r="D80" s="6" t="s">
        <v>214</v>
      </c>
      <c r="E80" s="6" t="n">
        <v>4</v>
      </c>
      <c r="F80" s="6" t="s">
        <v>50</v>
      </c>
      <c r="G80" s="7" t="s">
        <v>339</v>
      </c>
      <c r="H80" s="7" t="s">
        <v>340</v>
      </c>
      <c r="I80" s="7" t="s">
        <v>76</v>
      </c>
    </row>
    <row r="81" customFormat="false" ht="46.25" hidden="false" customHeight="false" outlineLevel="0" collapsed="false">
      <c r="A81" s="6" t="s">
        <v>57</v>
      </c>
      <c r="B81" s="6" t="s">
        <v>341</v>
      </c>
      <c r="C81" s="6" t="s">
        <v>342</v>
      </c>
      <c r="D81" s="6" t="s">
        <v>73</v>
      </c>
      <c r="E81" s="6" t="n">
        <v>4</v>
      </c>
      <c r="F81" s="6" t="s">
        <v>50</v>
      </c>
      <c r="G81" s="7" t="s">
        <v>74</v>
      </c>
      <c r="H81" s="7" t="s">
        <v>75</v>
      </c>
      <c r="I81" s="7" t="s">
        <v>76</v>
      </c>
    </row>
    <row r="82" customFormat="false" ht="46.25" hidden="false" customHeight="false" outlineLevel="0" collapsed="false">
      <c r="A82" s="6" t="s">
        <v>57</v>
      </c>
      <c r="B82" s="6" t="s">
        <v>343</v>
      </c>
      <c r="C82" s="6" t="s">
        <v>344</v>
      </c>
      <c r="D82" s="6" t="s">
        <v>73</v>
      </c>
      <c r="E82" s="6" t="n">
        <v>4</v>
      </c>
      <c r="F82" s="6" t="s">
        <v>50</v>
      </c>
      <c r="G82" s="7" t="s">
        <v>79</v>
      </c>
      <c r="H82" s="7" t="s">
        <v>80</v>
      </c>
      <c r="I82" s="7" t="s">
        <v>76</v>
      </c>
    </row>
    <row r="83" customFormat="false" ht="35.05" hidden="false" customHeight="false" outlineLevel="0" collapsed="false">
      <c r="A83" s="6" t="s">
        <v>57</v>
      </c>
      <c r="B83" s="6" t="s">
        <v>345</v>
      </c>
      <c r="C83" s="6" t="s">
        <v>346</v>
      </c>
      <c r="D83" s="6" t="s">
        <v>73</v>
      </c>
      <c r="E83" s="6" t="n">
        <v>4</v>
      </c>
      <c r="F83" s="6" t="s">
        <v>50</v>
      </c>
      <c r="G83" s="7" t="s">
        <v>87</v>
      </c>
      <c r="H83" s="7" t="s">
        <v>88</v>
      </c>
      <c r="I83" s="7" t="s">
        <v>76</v>
      </c>
    </row>
    <row r="84" customFormat="false" ht="35.05" hidden="false" customHeight="false" outlineLevel="0" collapsed="false">
      <c r="A84" s="6" t="s">
        <v>57</v>
      </c>
      <c r="B84" s="6" t="s">
        <v>347</v>
      </c>
      <c r="C84" s="6" t="s">
        <v>348</v>
      </c>
      <c r="D84" s="6" t="s">
        <v>73</v>
      </c>
      <c r="E84" s="6" t="n">
        <v>4</v>
      </c>
      <c r="F84" s="6" t="s">
        <v>50</v>
      </c>
      <c r="G84" s="7" t="s">
        <v>349</v>
      </c>
      <c r="H84" s="7" t="s">
        <v>350</v>
      </c>
      <c r="I84" s="7" t="s">
        <v>76</v>
      </c>
    </row>
    <row r="85" customFormat="false" ht="35.05" hidden="false" customHeight="false" outlineLevel="0" collapsed="false">
      <c r="A85" s="6" t="s">
        <v>57</v>
      </c>
      <c r="B85" s="6" t="s">
        <v>351</v>
      </c>
      <c r="C85" s="6" t="s">
        <v>352</v>
      </c>
      <c r="D85" s="6" t="s">
        <v>73</v>
      </c>
      <c r="E85" s="6" t="n">
        <v>4</v>
      </c>
      <c r="F85" s="6" t="s">
        <v>50</v>
      </c>
      <c r="G85" s="7" t="s">
        <v>91</v>
      </c>
      <c r="H85" s="7" t="s">
        <v>92</v>
      </c>
      <c r="I85" s="7" t="s">
        <v>76</v>
      </c>
    </row>
    <row r="86" customFormat="false" ht="35.05" hidden="false" customHeight="false" outlineLevel="0" collapsed="false">
      <c r="A86" s="6" t="s">
        <v>57</v>
      </c>
      <c r="B86" s="6" t="s">
        <v>353</v>
      </c>
      <c r="C86" s="6" t="s">
        <v>261</v>
      </c>
      <c r="D86" s="6" t="s">
        <v>73</v>
      </c>
      <c r="E86" s="6" t="n">
        <v>4</v>
      </c>
      <c r="F86" s="6" t="s">
        <v>50</v>
      </c>
      <c r="G86" s="7" t="s">
        <v>111</v>
      </c>
      <c r="H86" s="7" t="s">
        <v>112</v>
      </c>
      <c r="I86" s="7" t="s">
        <v>76</v>
      </c>
    </row>
    <row r="87" customFormat="false" ht="35.05" hidden="false" customHeight="false" outlineLevel="0" collapsed="false">
      <c r="A87" s="6" t="s">
        <v>57</v>
      </c>
      <c r="B87" s="6" t="s">
        <v>354</v>
      </c>
      <c r="C87" s="6" t="s">
        <v>234</v>
      </c>
      <c r="D87" s="6" t="s">
        <v>73</v>
      </c>
      <c r="E87" s="6" t="n">
        <v>4</v>
      </c>
      <c r="F87" s="6" t="s">
        <v>50</v>
      </c>
      <c r="G87" s="7" t="s">
        <v>83</v>
      </c>
      <c r="H87" s="7" t="s">
        <v>84</v>
      </c>
      <c r="I87" s="7" t="s">
        <v>76</v>
      </c>
    </row>
    <row r="88" customFormat="false" ht="35.05" hidden="false" customHeight="false" outlineLevel="0" collapsed="false">
      <c r="A88" s="6" t="s">
        <v>57</v>
      </c>
      <c r="B88" s="6" t="s">
        <v>355</v>
      </c>
      <c r="C88" s="6" t="s">
        <v>356</v>
      </c>
      <c r="D88" s="6" t="s">
        <v>119</v>
      </c>
      <c r="E88" s="6" t="n">
        <v>4</v>
      </c>
      <c r="F88" s="6" t="s">
        <v>50</v>
      </c>
      <c r="G88" s="7" t="s">
        <v>120</v>
      </c>
      <c r="H88" s="7" t="s">
        <v>121</v>
      </c>
      <c r="I88" s="7" t="s">
        <v>76</v>
      </c>
    </row>
    <row r="89" customFormat="false" ht="35.05" hidden="false" customHeight="false" outlineLevel="0" collapsed="false">
      <c r="A89" s="6" t="s">
        <v>57</v>
      </c>
      <c r="B89" s="6" t="s">
        <v>357</v>
      </c>
      <c r="C89" s="6" t="s">
        <v>358</v>
      </c>
      <c r="D89" s="6" t="s">
        <v>119</v>
      </c>
      <c r="E89" s="6" t="n">
        <v>4</v>
      </c>
      <c r="F89" s="6" t="s">
        <v>50</v>
      </c>
      <c r="G89" s="7" t="s">
        <v>124</v>
      </c>
      <c r="H89" s="7" t="s">
        <v>125</v>
      </c>
      <c r="I89" s="7" t="s">
        <v>76</v>
      </c>
    </row>
    <row r="90" customFormat="false" ht="35.05" hidden="false" customHeight="false" outlineLevel="0" collapsed="false">
      <c r="A90" s="6" t="s">
        <v>57</v>
      </c>
      <c r="B90" s="6" t="s">
        <v>359</v>
      </c>
      <c r="C90" s="6" t="s">
        <v>360</v>
      </c>
      <c r="D90" s="6" t="s">
        <v>119</v>
      </c>
      <c r="E90" s="6" t="n">
        <v>4</v>
      </c>
      <c r="F90" s="6" t="s">
        <v>50</v>
      </c>
      <c r="G90" s="7" t="s">
        <v>128</v>
      </c>
      <c r="H90" s="7" t="s">
        <v>129</v>
      </c>
      <c r="I90" s="7" t="s">
        <v>76</v>
      </c>
    </row>
    <row r="91" customFormat="false" ht="35.05" hidden="false" customHeight="false" outlineLevel="0" collapsed="false">
      <c r="A91" s="6" t="s">
        <v>57</v>
      </c>
      <c r="B91" s="6" t="s">
        <v>361</v>
      </c>
      <c r="C91" s="6" t="s">
        <v>362</v>
      </c>
      <c r="D91" s="6" t="s">
        <v>119</v>
      </c>
      <c r="E91" s="6" t="n">
        <v>4</v>
      </c>
      <c r="F91" s="6" t="s">
        <v>50</v>
      </c>
      <c r="G91" s="7" t="s">
        <v>132</v>
      </c>
      <c r="H91" s="7" t="s">
        <v>133</v>
      </c>
      <c r="I91" s="7" t="s">
        <v>76</v>
      </c>
    </row>
    <row r="92" customFormat="false" ht="35.05" hidden="false" customHeight="false" outlineLevel="0" collapsed="false">
      <c r="A92" s="6" t="s">
        <v>57</v>
      </c>
      <c r="B92" s="6" t="s">
        <v>363</v>
      </c>
      <c r="C92" s="6" t="s">
        <v>364</v>
      </c>
      <c r="D92" s="6" t="s">
        <v>119</v>
      </c>
      <c r="E92" s="6" t="n">
        <v>4</v>
      </c>
      <c r="F92" s="6" t="s">
        <v>50</v>
      </c>
      <c r="G92" s="7" t="s">
        <v>136</v>
      </c>
      <c r="H92" s="7" t="s">
        <v>137</v>
      </c>
      <c r="I92" s="7" t="s">
        <v>76</v>
      </c>
    </row>
    <row r="93" customFormat="false" ht="35.05" hidden="false" customHeight="false" outlineLevel="0" collapsed="false">
      <c r="A93" s="6" t="s">
        <v>57</v>
      </c>
      <c r="B93" s="6" t="s">
        <v>365</v>
      </c>
      <c r="C93" s="6" t="s">
        <v>366</v>
      </c>
      <c r="D93" s="6" t="s">
        <v>119</v>
      </c>
      <c r="E93" s="6" t="n">
        <v>4</v>
      </c>
      <c r="F93" s="6" t="s">
        <v>50</v>
      </c>
      <c r="G93" s="7" t="s">
        <v>140</v>
      </c>
      <c r="H93" s="7" t="s">
        <v>141</v>
      </c>
      <c r="I93" s="7" t="s">
        <v>76</v>
      </c>
    </row>
    <row r="94" customFormat="false" ht="35.05" hidden="false" customHeight="false" outlineLevel="0" collapsed="false">
      <c r="A94" s="6" t="s">
        <v>57</v>
      </c>
      <c r="B94" s="6" t="s">
        <v>367</v>
      </c>
      <c r="C94" s="6" t="s">
        <v>368</v>
      </c>
      <c r="D94" s="6" t="s">
        <v>144</v>
      </c>
      <c r="E94" s="6" t="n">
        <v>4</v>
      </c>
      <c r="F94" s="6" t="s">
        <v>50</v>
      </c>
      <c r="G94" s="7" t="s">
        <v>145</v>
      </c>
      <c r="H94" s="7" t="s">
        <v>146</v>
      </c>
      <c r="I94" s="7" t="s">
        <v>76</v>
      </c>
    </row>
    <row r="95" customFormat="false" ht="35.05" hidden="false" customHeight="false" outlineLevel="0" collapsed="false">
      <c r="A95" s="6" t="s">
        <v>57</v>
      </c>
      <c r="B95" s="6" t="s">
        <v>369</v>
      </c>
      <c r="C95" s="6" t="s">
        <v>370</v>
      </c>
      <c r="D95" s="6" t="s">
        <v>144</v>
      </c>
      <c r="E95" s="6" t="n">
        <v>4</v>
      </c>
      <c r="F95" s="6" t="s">
        <v>50</v>
      </c>
      <c r="G95" s="7" t="s">
        <v>290</v>
      </c>
      <c r="H95" s="7" t="s">
        <v>291</v>
      </c>
      <c r="I95" s="7" t="s">
        <v>76</v>
      </c>
    </row>
    <row r="96" customFormat="false" ht="35.05" hidden="false" customHeight="false" outlineLevel="0" collapsed="false">
      <c r="A96" s="6" t="s">
        <v>57</v>
      </c>
      <c r="B96" s="6" t="s">
        <v>371</v>
      </c>
      <c r="C96" s="6" t="s">
        <v>372</v>
      </c>
      <c r="D96" s="6" t="s">
        <v>144</v>
      </c>
      <c r="E96" s="6" t="n">
        <v>4</v>
      </c>
      <c r="F96" s="6" t="s">
        <v>50</v>
      </c>
      <c r="G96" s="7" t="s">
        <v>290</v>
      </c>
      <c r="H96" s="7" t="s">
        <v>291</v>
      </c>
      <c r="I96" s="7" t="s">
        <v>76</v>
      </c>
    </row>
    <row r="97" customFormat="false" ht="35.05" hidden="false" customHeight="false" outlineLevel="0" collapsed="false">
      <c r="A97" s="6" t="s">
        <v>57</v>
      </c>
      <c r="B97" s="6" t="s">
        <v>373</v>
      </c>
      <c r="C97" s="6" t="s">
        <v>374</v>
      </c>
      <c r="D97" s="6" t="s">
        <v>144</v>
      </c>
      <c r="E97" s="6" t="n">
        <v>4</v>
      </c>
      <c r="F97" s="6" t="s">
        <v>50</v>
      </c>
      <c r="G97" s="7" t="s">
        <v>157</v>
      </c>
      <c r="H97" s="7" t="s">
        <v>158</v>
      </c>
      <c r="I97" s="7" t="s">
        <v>76</v>
      </c>
    </row>
    <row r="98" customFormat="false" ht="35.05" hidden="false" customHeight="false" outlineLevel="0" collapsed="false">
      <c r="A98" s="6" t="s">
        <v>57</v>
      </c>
      <c r="B98" s="6" t="s">
        <v>375</v>
      </c>
      <c r="C98" s="6" t="s">
        <v>376</v>
      </c>
      <c r="D98" s="6" t="s">
        <v>144</v>
      </c>
      <c r="E98" s="6" t="n">
        <v>4</v>
      </c>
      <c r="F98" s="6" t="s">
        <v>50</v>
      </c>
      <c r="G98" s="7" t="s">
        <v>377</v>
      </c>
      <c r="H98" s="7" t="s">
        <v>378</v>
      </c>
      <c r="I98" s="7" t="s">
        <v>76</v>
      </c>
    </row>
    <row r="99" customFormat="false" ht="35.05" hidden="false" customHeight="false" outlineLevel="0" collapsed="false">
      <c r="A99" s="6" t="s">
        <v>57</v>
      </c>
      <c r="B99" s="6" t="s">
        <v>379</v>
      </c>
      <c r="C99" s="6" t="s">
        <v>380</v>
      </c>
      <c r="D99" s="6" t="s">
        <v>144</v>
      </c>
      <c r="E99" s="6" t="n">
        <v>4</v>
      </c>
      <c r="F99" s="6" t="s">
        <v>50</v>
      </c>
      <c r="G99" s="7" t="s">
        <v>161</v>
      </c>
      <c r="H99" s="7" t="s">
        <v>162</v>
      </c>
      <c r="I99" s="7" t="s">
        <v>76</v>
      </c>
    </row>
    <row r="100" customFormat="false" ht="35.05" hidden="false" customHeight="false" outlineLevel="0" collapsed="false">
      <c r="A100" s="6" t="s">
        <v>57</v>
      </c>
      <c r="B100" s="6" t="s">
        <v>381</v>
      </c>
      <c r="C100" s="6" t="s">
        <v>382</v>
      </c>
      <c r="D100" s="6" t="s">
        <v>144</v>
      </c>
      <c r="E100" s="6" t="n">
        <v>4</v>
      </c>
      <c r="F100" s="6" t="s">
        <v>50</v>
      </c>
      <c r="G100" s="7" t="s">
        <v>169</v>
      </c>
      <c r="H100" s="7" t="s">
        <v>170</v>
      </c>
      <c r="I100" s="7" t="s">
        <v>76</v>
      </c>
    </row>
    <row r="101" customFormat="false" ht="35.05" hidden="false" customHeight="false" outlineLevel="0" collapsed="false">
      <c r="A101" s="6" t="s">
        <v>57</v>
      </c>
      <c r="B101" s="6" t="s">
        <v>383</v>
      </c>
      <c r="C101" s="6" t="s">
        <v>172</v>
      </c>
      <c r="D101" s="6" t="s">
        <v>144</v>
      </c>
      <c r="E101" s="6" t="n">
        <v>4</v>
      </c>
      <c r="F101" s="6" t="s">
        <v>50</v>
      </c>
      <c r="G101" s="7" t="s">
        <v>173</v>
      </c>
      <c r="H101" s="7" t="s">
        <v>174</v>
      </c>
      <c r="I101" s="7" t="s">
        <v>76</v>
      </c>
    </row>
    <row r="102" customFormat="false" ht="35.05" hidden="false" customHeight="false" outlineLevel="0" collapsed="false">
      <c r="A102" s="6" t="s">
        <v>57</v>
      </c>
      <c r="B102" s="6" t="s">
        <v>384</v>
      </c>
      <c r="C102" s="6" t="s">
        <v>164</v>
      </c>
      <c r="D102" s="6" t="s">
        <v>144</v>
      </c>
      <c r="E102" s="6" t="n">
        <v>4</v>
      </c>
      <c r="F102" s="6" t="s">
        <v>50</v>
      </c>
      <c r="G102" s="7" t="s">
        <v>165</v>
      </c>
      <c r="H102" s="7" t="s">
        <v>166</v>
      </c>
      <c r="I102" s="7" t="s">
        <v>76</v>
      </c>
    </row>
    <row r="103" customFormat="false" ht="35.05" hidden="false" customHeight="false" outlineLevel="0" collapsed="false">
      <c r="A103" s="6" t="s">
        <v>57</v>
      </c>
      <c r="B103" s="6" t="s">
        <v>385</v>
      </c>
      <c r="C103" s="6" t="s">
        <v>386</v>
      </c>
      <c r="D103" s="6" t="s">
        <v>144</v>
      </c>
      <c r="E103" s="6" t="n">
        <v>4</v>
      </c>
      <c r="F103" s="6" t="s">
        <v>50</v>
      </c>
      <c r="G103" s="7" t="s">
        <v>177</v>
      </c>
      <c r="H103" s="7" t="s">
        <v>178</v>
      </c>
      <c r="I103" s="7" t="s">
        <v>76</v>
      </c>
    </row>
    <row r="104" customFormat="false" ht="35.05" hidden="false" customHeight="false" outlineLevel="0" collapsed="false">
      <c r="A104" s="6" t="s">
        <v>57</v>
      </c>
      <c r="B104" s="6" t="s">
        <v>387</v>
      </c>
      <c r="C104" s="6" t="s">
        <v>388</v>
      </c>
      <c r="D104" s="6" t="s">
        <v>181</v>
      </c>
      <c r="E104" s="6" t="n">
        <v>4</v>
      </c>
      <c r="F104" s="6" t="s">
        <v>50</v>
      </c>
      <c r="G104" s="7" t="s">
        <v>182</v>
      </c>
      <c r="H104" s="7" t="s">
        <v>183</v>
      </c>
      <c r="I104" s="7" t="s">
        <v>76</v>
      </c>
    </row>
    <row r="105" customFormat="false" ht="35.05" hidden="false" customHeight="false" outlineLevel="0" collapsed="false">
      <c r="A105" s="6" t="s">
        <v>57</v>
      </c>
      <c r="B105" s="6" t="s">
        <v>389</v>
      </c>
      <c r="C105" s="6" t="s">
        <v>390</v>
      </c>
      <c r="D105" s="6" t="s">
        <v>181</v>
      </c>
      <c r="E105" s="6" t="n">
        <v>4</v>
      </c>
      <c r="F105" s="6" t="s">
        <v>50</v>
      </c>
      <c r="G105" s="7" t="s">
        <v>186</v>
      </c>
      <c r="H105" s="7" t="s">
        <v>187</v>
      </c>
      <c r="I105" s="7" t="s">
        <v>76</v>
      </c>
    </row>
    <row r="106" customFormat="false" ht="35.05" hidden="false" customHeight="false" outlineLevel="0" collapsed="false">
      <c r="A106" s="6" t="s">
        <v>57</v>
      </c>
      <c r="B106" s="6" t="s">
        <v>391</v>
      </c>
      <c r="C106" s="6" t="s">
        <v>392</v>
      </c>
      <c r="D106" s="6" t="s">
        <v>181</v>
      </c>
      <c r="E106" s="6" t="n">
        <v>4</v>
      </c>
      <c r="F106" s="6" t="s">
        <v>50</v>
      </c>
      <c r="G106" s="7" t="s">
        <v>393</v>
      </c>
      <c r="H106" s="7" t="s">
        <v>394</v>
      </c>
      <c r="I106" s="7" t="s">
        <v>76</v>
      </c>
    </row>
    <row r="107" customFormat="false" ht="35.05" hidden="false" customHeight="false" outlineLevel="0" collapsed="false">
      <c r="A107" s="6" t="s">
        <v>57</v>
      </c>
      <c r="B107" s="6" t="s">
        <v>395</v>
      </c>
      <c r="C107" s="6" t="s">
        <v>193</v>
      </c>
      <c r="D107" s="6" t="s">
        <v>181</v>
      </c>
      <c r="E107" s="6" t="n">
        <v>4</v>
      </c>
      <c r="F107" s="6" t="s">
        <v>50</v>
      </c>
      <c r="G107" s="7" t="s">
        <v>194</v>
      </c>
      <c r="H107" s="7" t="s">
        <v>195</v>
      </c>
      <c r="I107" s="7" t="s">
        <v>76</v>
      </c>
    </row>
    <row r="108" customFormat="false" ht="35.05" hidden="false" customHeight="false" outlineLevel="0" collapsed="false">
      <c r="A108" s="6" t="s">
        <v>57</v>
      </c>
      <c r="B108" s="6" t="s">
        <v>396</v>
      </c>
      <c r="C108" s="6" t="s">
        <v>397</v>
      </c>
      <c r="D108" s="6" t="s">
        <v>181</v>
      </c>
      <c r="E108" s="6" t="n">
        <v>5</v>
      </c>
      <c r="F108" s="6" t="s">
        <v>50</v>
      </c>
      <c r="G108" s="7" t="s">
        <v>198</v>
      </c>
      <c r="H108" s="7" t="s">
        <v>199</v>
      </c>
      <c r="I108" s="7" t="s">
        <v>76</v>
      </c>
    </row>
    <row r="109" customFormat="false" ht="35.05" hidden="false" customHeight="false" outlineLevel="0" collapsed="false">
      <c r="A109" s="6" t="s">
        <v>57</v>
      </c>
      <c r="B109" s="6" t="s">
        <v>398</v>
      </c>
      <c r="C109" s="6" t="s">
        <v>399</v>
      </c>
      <c r="D109" s="6" t="s">
        <v>181</v>
      </c>
      <c r="E109" s="6" t="n">
        <v>5</v>
      </c>
      <c r="F109" s="6" t="s">
        <v>50</v>
      </c>
      <c r="G109" s="7" t="s">
        <v>202</v>
      </c>
      <c r="H109" s="7" t="s">
        <v>203</v>
      </c>
      <c r="I109" s="7" t="s">
        <v>76</v>
      </c>
    </row>
    <row r="110" customFormat="false" ht="35.05" hidden="false" customHeight="false" outlineLevel="0" collapsed="false">
      <c r="A110" s="6" t="s">
        <v>57</v>
      </c>
      <c r="B110" s="6" t="s">
        <v>400</v>
      </c>
      <c r="C110" s="6" t="s">
        <v>401</v>
      </c>
      <c r="D110" s="6" t="s">
        <v>181</v>
      </c>
      <c r="E110" s="6" t="n">
        <v>5</v>
      </c>
      <c r="F110" s="6" t="s">
        <v>50</v>
      </c>
      <c r="G110" s="7" t="s">
        <v>206</v>
      </c>
      <c r="H110" s="7" t="s">
        <v>207</v>
      </c>
      <c r="I110" s="7" t="s">
        <v>76</v>
      </c>
    </row>
    <row r="111" customFormat="false" ht="35.05" hidden="false" customHeight="false" outlineLevel="0" collapsed="false">
      <c r="A111" s="6" t="s">
        <v>57</v>
      </c>
      <c r="B111" s="6" t="s">
        <v>402</v>
      </c>
      <c r="C111" s="6" t="s">
        <v>403</v>
      </c>
      <c r="D111" s="6" t="s">
        <v>181</v>
      </c>
      <c r="E111" s="6" t="n">
        <v>5</v>
      </c>
      <c r="F111" s="6" t="s">
        <v>50</v>
      </c>
      <c r="G111" s="7" t="s">
        <v>210</v>
      </c>
      <c r="H111" s="7" t="s">
        <v>211</v>
      </c>
      <c r="I111" s="7" t="s">
        <v>76</v>
      </c>
    </row>
    <row r="112" customFormat="false" ht="35.05" hidden="false" customHeight="false" outlineLevel="0" collapsed="false">
      <c r="A112" s="6" t="s">
        <v>57</v>
      </c>
      <c r="B112" s="6" t="s">
        <v>404</v>
      </c>
      <c r="C112" s="6" t="s">
        <v>213</v>
      </c>
      <c r="D112" s="6" t="s">
        <v>214</v>
      </c>
      <c r="E112" s="6" t="n">
        <v>4</v>
      </c>
      <c r="F112" s="6" t="s">
        <v>50</v>
      </c>
      <c r="G112" s="7" t="s">
        <v>215</v>
      </c>
      <c r="H112" s="7" t="s">
        <v>216</v>
      </c>
      <c r="I112" s="7" t="s">
        <v>76</v>
      </c>
    </row>
    <row r="113" customFormat="false" ht="35.05" hidden="false" customHeight="false" outlineLevel="0" collapsed="false">
      <c r="A113" s="6" t="s">
        <v>57</v>
      </c>
      <c r="B113" s="6" t="s">
        <v>405</v>
      </c>
      <c r="C113" s="6" t="s">
        <v>218</v>
      </c>
      <c r="D113" s="6" t="s">
        <v>214</v>
      </c>
      <c r="E113" s="6" t="n">
        <v>4</v>
      </c>
      <c r="F113" s="6" t="s">
        <v>50</v>
      </c>
      <c r="G113" s="7" t="s">
        <v>219</v>
      </c>
      <c r="H113" s="7" t="s">
        <v>220</v>
      </c>
      <c r="I113" s="7" t="s">
        <v>76</v>
      </c>
    </row>
    <row r="114" customFormat="false" ht="35.05" hidden="false" customHeight="false" outlineLevel="0" collapsed="false">
      <c r="A114" s="6" t="s">
        <v>57</v>
      </c>
      <c r="B114" s="6" t="s">
        <v>406</v>
      </c>
      <c r="C114" s="6" t="s">
        <v>407</v>
      </c>
      <c r="D114" s="6" t="s">
        <v>214</v>
      </c>
      <c r="E114" s="6" t="n">
        <v>4</v>
      </c>
      <c r="F114" s="6" t="s">
        <v>50</v>
      </c>
      <c r="G114" s="7" t="s">
        <v>223</v>
      </c>
      <c r="H114" s="7" t="s">
        <v>224</v>
      </c>
      <c r="I114" s="7" t="s">
        <v>76</v>
      </c>
    </row>
    <row r="115" customFormat="false" ht="35.05" hidden="false" customHeight="false" outlineLevel="0" collapsed="false">
      <c r="A115" s="6" t="s">
        <v>57</v>
      </c>
      <c r="B115" s="6" t="s">
        <v>408</v>
      </c>
      <c r="C115" s="6" t="s">
        <v>226</v>
      </c>
      <c r="D115" s="6" t="s">
        <v>214</v>
      </c>
      <c r="E115" s="6" t="n">
        <v>4</v>
      </c>
      <c r="F115" s="6" t="s">
        <v>50</v>
      </c>
      <c r="G115" s="7" t="s">
        <v>227</v>
      </c>
      <c r="H115" s="7" t="s">
        <v>228</v>
      </c>
      <c r="I115" s="7" t="s">
        <v>76</v>
      </c>
    </row>
    <row r="116" customFormat="false" ht="35.05" hidden="false" customHeight="false" outlineLevel="0" collapsed="false">
      <c r="A116" s="6" t="s">
        <v>57</v>
      </c>
      <c r="B116" s="6" t="s">
        <v>409</v>
      </c>
      <c r="C116" s="6" t="s">
        <v>410</v>
      </c>
      <c r="D116" s="6" t="s">
        <v>214</v>
      </c>
      <c r="E116" s="6" t="n">
        <v>4</v>
      </c>
      <c r="F116" s="6" t="s">
        <v>50</v>
      </c>
      <c r="G116" s="7" t="s">
        <v>231</v>
      </c>
      <c r="H116" s="7" t="s">
        <v>232</v>
      </c>
      <c r="I116" s="7" t="s">
        <v>76</v>
      </c>
    </row>
    <row r="117" customFormat="false" ht="35.05" hidden="false" customHeight="false" outlineLevel="0" collapsed="false">
      <c r="A117" s="6" t="s">
        <v>57</v>
      </c>
      <c r="B117" s="6" t="s">
        <v>411</v>
      </c>
      <c r="C117" s="6" t="s">
        <v>412</v>
      </c>
      <c r="D117" s="6" t="s">
        <v>214</v>
      </c>
      <c r="E117" s="6" t="n">
        <v>4</v>
      </c>
      <c r="F117" s="6" t="s">
        <v>50</v>
      </c>
      <c r="G117" s="7" t="s">
        <v>239</v>
      </c>
      <c r="H117" s="7" t="s">
        <v>240</v>
      </c>
      <c r="I117" s="7" t="s">
        <v>76</v>
      </c>
    </row>
    <row r="118" customFormat="false" ht="35.05" hidden="false" customHeight="false" outlineLevel="0" collapsed="false">
      <c r="A118" s="6" t="s">
        <v>57</v>
      </c>
      <c r="B118" s="6" t="s">
        <v>413</v>
      </c>
      <c r="C118" s="6" t="s">
        <v>414</v>
      </c>
      <c r="D118" s="6" t="s">
        <v>214</v>
      </c>
      <c r="E118" s="6" t="n">
        <v>4</v>
      </c>
      <c r="F118" s="6" t="s">
        <v>50</v>
      </c>
      <c r="G118" s="7" t="s">
        <v>339</v>
      </c>
      <c r="H118" s="7" t="s">
        <v>340</v>
      </c>
      <c r="I118" s="7" t="s">
        <v>76</v>
      </c>
    </row>
    <row r="119" customFormat="false" ht="46.25" hidden="false" customHeight="false" outlineLevel="0" collapsed="false">
      <c r="A119" s="6" t="s">
        <v>58</v>
      </c>
      <c r="B119" s="6" t="s">
        <v>415</v>
      </c>
      <c r="C119" s="6" t="s">
        <v>416</v>
      </c>
      <c r="D119" s="6" t="s">
        <v>73</v>
      </c>
      <c r="E119" s="6" t="n">
        <v>4</v>
      </c>
      <c r="F119" s="6" t="s">
        <v>50</v>
      </c>
      <c r="G119" s="7" t="s">
        <v>74</v>
      </c>
      <c r="H119" s="7" t="s">
        <v>75</v>
      </c>
      <c r="I119" s="7" t="s">
        <v>60</v>
      </c>
    </row>
    <row r="120" customFormat="false" ht="35.05" hidden="false" customHeight="false" outlineLevel="0" collapsed="false">
      <c r="A120" s="6" t="s">
        <v>58</v>
      </c>
      <c r="B120" s="6" t="s">
        <v>417</v>
      </c>
      <c r="C120" s="6" t="s">
        <v>418</v>
      </c>
      <c r="D120" s="6" t="s">
        <v>73</v>
      </c>
      <c r="E120" s="6" t="n">
        <v>3</v>
      </c>
      <c r="F120" s="6" t="s">
        <v>50</v>
      </c>
      <c r="G120" s="7" t="s">
        <v>419</v>
      </c>
      <c r="H120" s="7" t="s">
        <v>420</v>
      </c>
      <c r="I120" s="7" t="s">
        <v>60</v>
      </c>
    </row>
    <row r="121" customFormat="false" ht="46.25" hidden="false" customHeight="false" outlineLevel="0" collapsed="false">
      <c r="A121" s="6" t="s">
        <v>58</v>
      </c>
      <c r="B121" s="6" t="s">
        <v>421</v>
      </c>
      <c r="C121" s="6" t="s">
        <v>422</v>
      </c>
      <c r="D121" s="6" t="s">
        <v>73</v>
      </c>
      <c r="E121" s="6" t="n">
        <v>4</v>
      </c>
      <c r="F121" s="6" t="s">
        <v>50</v>
      </c>
      <c r="G121" s="7" t="s">
        <v>79</v>
      </c>
      <c r="H121" s="7" t="s">
        <v>80</v>
      </c>
      <c r="I121" s="7" t="s">
        <v>60</v>
      </c>
    </row>
    <row r="122" customFormat="false" ht="35.05" hidden="false" customHeight="false" outlineLevel="0" collapsed="false">
      <c r="A122" s="6" t="s">
        <v>58</v>
      </c>
      <c r="B122" s="6" t="s">
        <v>423</v>
      </c>
      <c r="C122" s="6" t="s">
        <v>424</v>
      </c>
      <c r="D122" s="6" t="s">
        <v>214</v>
      </c>
      <c r="E122" s="6" t="n">
        <v>3</v>
      </c>
      <c r="F122" s="6" t="s">
        <v>50</v>
      </c>
      <c r="G122" s="7" t="s">
        <v>425</v>
      </c>
      <c r="H122" s="7" t="s">
        <v>426</v>
      </c>
      <c r="I122" s="7" t="s">
        <v>60</v>
      </c>
    </row>
    <row r="123" customFormat="false" ht="35.05" hidden="false" customHeight="false" outlineLevel="0" collapsed="false">
      <c r="A123" s="6" t="s">
        <v>58</v>
      </c>
      <c r="B123" s="6" t="s">
        <v>427</v>
      </c>
      <c r="C123" s="6" t="s">
        <v>428</v>
      </c>
      <c r="D123" s="6" t="s">
        <v>214</v>
      </c>
      <c r="E123" s="6" t="n">
        <v>4</v>
      </c>
      <c r="F123" s="6" t="s">
        <v>50</v>
      </c>
      <c r="G123" s="7" t="s">
        <v>429</v>
      </c>
      <c r="H123" s="7" t="s">
        <v>430</v>
      </c>
      <c r="I123" s="7" t="s">
        <v>60</v>
      </c>
    </row>
    <row r="124" customFormat="false" ht="35.05" hidden="false" customHeight="false" outlineLevel="0" collapsed="false">
      <c r="A124" s="6" t="s">
        <v>58</v>
      </c>
      <c r="B124" s="6" t="s">
        <v>431</v>
      </c>
      <c r="C124" s="6" t="s">
        <v>213</v>
      </c>
      <c r="D124" s="6" t="s">
        <v>214</v>
      </c>
      <c r="E124" s="6" t="n">
        <v>4</v>
      </c>
      <c r="F124" s="6" t="s">
        <v>50</v>
      </c>
      <c r="G124" s="7" t="s">
        <v>215</v>
      </c>
      <c r="H124" s="7" t="s">
        <v>216</v>
      </c>
      <c r="I124" s="7" t="s">
        <v>60</v>
      </c>
    </row>
    <row r="125" customFormat="false" ht="35.05" hidden="false" customHeight="false" outlineLevel="0" collapsed="false">
      <c r="A125" s="6" t="s">
        <v>58</v>
      </c>
      <c r="B125" s="6" t="s">
        <v>432</v>
      </c>
      <c r="C125" s="6" t="s">
        <v>218</v>
      </c>
      <c r="D125" s="6" t="s">
        <v>214</v>
      </c>
      <c r="E125" s="6" t="n">
        <v>4</v>
      </c>
      <c r="F125" s="6" t="s">
        <v>50</v>
      </c>
      <c r="G125" s="7" t="s">
        <v>219</v>
      </c>
      <c r="H125" s="7" t="s">
        <v>220</v>
      </c>
      <c r="I125" s="7" t="s">
        <v>60</v>
      </c>
    </row>
    <row r="126" customFormat="false" ht="46.25" hidden="false" customHeight="false" outlineLevel="0" collapsed="false">
      <c r="A126" s="6" t="s">
        <v>58</v>
      </c>
      <c r="B126" s="6" t="s">
        <v>433</v>
      </c>
      <c r="C126" s="6" t="s">
        <v>234</v>
      </c>
      <c r="D126" s="6" t="s">
        <v>214</v>
      </c>
      <c r="E126" s="6" t="n">
        <v>3</v>
      </c>
      <c r="F126" s="6" t="s">
        <v>50</v>
      </c>
      <c r="G126" s="7" t="s">
        <v>434</v>
      </c>
      <c r="H126" s="7" t="s">
        <v>435</v>
      </c>
      <c r="I126" s="7" t="s">
        <v>60</v>
      </c>
    </row>
    <row r="127" customFormat="false" ht="35.05" hidden="false" customHeight="false" outlineLevel="0" collapsed="false">
      <c r="A127" s="6" t="s">
        <v>58</v>
      </c>
      <c r="B127" s="6" t="s">
        <v>436</v>
      </c>
      <c r="C127" s="6" t="s">
        <v>226</v>
      </c>
      <c r="D127" s="6" t="s">
        <v>214</v>
      </c>
      <c r="E127" s="6" t="n">
        <v>3</v>
      </c>
      <c r="F127" s="6" t="s">
        <v>50</v>
      </c>
      <c r="G127" s="7" t="s">
        <v>227</v>
      </c>
      <c r="H127" s="7" t="s">
        <v>228</v>
      </c>
      <c r="I127" s="7" t="s">
        <v>60</v>
      </c>
    </row>
    <row r="128" customFormat="false" ht="35.05" hidden="false" customHeight="false" outlineLevel="0" collapsed="false">
      <c r="A128" s="6" t="s">
        <v>58</v>
      </c>
      <c r="B128" s="6" t="s">
        <v>437</v>
      </c>
      <c r="C128" s="6" t="s">
        <v>438</v>
      </c>
      <c r="D128" s="6" t="s">
        <v>214</v>
      </c>
      <c r="E128" s="6" t="n">
        <v>3</v>
      </c>
      <c r="F128" s="6" t="s">
        <v>50</v>
      </c>
      <c r="G128" s="7" t="s">
        <v>439</v>
      </c>
      <c r="H128" s="7" t="s">
        <v>440</v>
      </c>
      <c r="I128" s="7" t="s">
        <v>60</v>
      </c>
    </row>
    <row r="129" customFormat="false" ht="35.05" hidden="false" customHeight="false" outlineLevel="0" collapsed="false">
      <c r="A129" s="6" t="s">
        <v>58</v>
      </c>
      <c r="B129" s="6" t="s">
        <v>441</v>
      </c>
      <c r="C129" s="6" t="s">
        <v>442</v>
      </c>
      <c r="D129" s="6" t="s">
        <v>443</v>
      </c>
      <c r="E129" s="6" t="n">
        <v>3</v>
      </c>
      <c r="F129" s="6" t="s">
        <v>50</v>
      </c>
      <c r="G129" s="7" t="s">
        <v>444</v>
      </c>
      <c r="H129" s="7" t="s">
        <v>445</v>
      </c>
      <c r="I129" s="7" t="s">
        <v>60</v>
      </c>
    </row>
    <row r="130" customFormat="false" ht="35.05" hidden="false" customHeight="false" outlineLevel="0" collapsed="false">
      <c r="A130" s="6" t="s">
        <v>58</v>
      </c>
      <c r="B130" s="6" t="s">
        <v>446</v>
      </c>
      <c r="C130" s="6" t="s">
        <v>447</v>
      </c>
      <c r="D130" s="6" t="s">
        <v>443</v>
      </c>
      <c r="E130" s="6" t="n">
        <v>3</v>
      </c>
      <c r="F130" s="6" t="s">
        <v>50</v>
      </c>
      <c r="G130" s="7" t="s">
        <v>448</v>
      </c>
      <c r="H130" s="7" t="s">
        <v>449</v>
      </c>
      <c r="I130" s="7" t="s">
        <v>60</v>
      </c>
    </row>
    <row r="131" customFormat="false" ht="35.05" hidden="false" customHeight="false" outlineLevel="0" collapsed="false">
      <c r="A131" s="6" t="s">
        <v>58</v>
      </c>
      <c r="B131" s="6" t="s">
        <v>450</v>
      </c>
      <c r="C131" s="6" t="s">
        <v>275</v>
      </c>
      <c r="D131" s="6" t="s">
        <v>119</v>
      </c>
      <c r="E131" s="6" t="n">
        <v>3</v>
      </c>
      <c r="F131" s="6" t="s">
        <v>50</v>
      </c>
      <c r="G131" s="7" t="s">
        <v>124</v>
      </c>
      <c r="H131" s="7" t="s">
        <v>125</v>
      </c>
      <c r="I131" s="7" t="s">
        <v>60</v>
      </c>
    </row>
    <row r="132" customFormat="false" ht="35.05" hidden="false" customHeight="false" outlineLevel="0" collapsed="false">
      <c r="A132" s="6" t="s">
        <v>58</v>
      </c>
      <c r="B132" s="6" t="s">
        <v>451</v>
      </c>
      <c r="C132" s="6" t="s">
        <v>273</v>
      </c>
      <c r="D132" s="6" t="s">
        <v>119</v>
      </c>
      <c r="E132" s="6" t="n">
        <v>3</v>
      </c>
      <c r="F132" s="6" t="s">
        <v>50</v>
      </c>
      <c r="G132" s="7" t="s">
        <v>120</v>
      </c>
      <c r="H132" s="7" t="s">
        <v>121</v>
      </c>
      <c r="I132" s="7" t="s">
        <v>60</v>
      </c>
    </row>
    <row r="133" customFormat="false" ht="35.05" hidden="false" customHeight="false" outlineLevel="0" collapsed="false">
      <c r="A133" s="6" t="s">
        <v>58</v>
      </c>
      <c r="B133" s="6" t="s">
        <v>452</v>
      </c>
      <c r="C133" s="6" t="s">
        <v>453</v>
      </c>
      <c r="D133" s="6" t="s">
        <v>144</v>
      </c>
      <c r="E133" s="6" t="n">
        <v>3</v>
      </c>
      <c r="F133" s="6" t="s">
        <v>50</v>
      </c>
      <c r="G133" s="7" t="s">
        <v>145</v>
      </c>
      <c r="H133" s="7" t="s">
        <v>146</v>
      </c>
      <c r="I133" s="7" t="s">
        <v>60</v>
      </c>
    </row>
    <row r="134" customFormat="false" ht="35.05" hidden="false" customHeight="false" outlineLevel="0" collapsed="false">
      <c r="A134" s="6" t="s">
        <v>58</v>
      </c>
      <c r="B134" s="6" t="s">
        <v>454</v>
      </c>
      <c r="C134" s="6" t="s">
        <v>455</v>
      </c>
      <c r="D134" s="6" t="s">
        <v>144</v>
      </c>
      <c r="E134" s="6" t="n">
        <v>3</v>
      </c>
      <c r="F134" s="6" t="s">
        <v>50</v>
      </c>
      <c r="G134" s="7" t="s">
        <v>456</v>
      </c>
      <c r="H134" s="7" t="s">
        <v>457</v>
      </c>
      <c r="I134" s="7" t="s">
        <v>60</v>
      </c>
    </row>
    <row r="135" customFormat="false" ht="35.05" hidden="false" customHeight="false" outlineLevel="0" collapsed="false">
      <c r="A135" s="6" t="s">
        <v>58</v>
      </c>
      <c r="B135" s="6" t="s">
        <v>458</v>
      </c>
      <c r="C135" s="6" t="s">
        <v>459</v>
      </c>
      <c r="D135" s="6" t="s">
        <v>181</v>
      </c>
      <c r="E135" s="6" t="n">
        <v>4</v>
      </c>
      <c r="F135" s="6" t="s">
        <v>50</v>
      </c>
      <c r="G135" s="7" t="s">
        <v>182</v>
      </c>
      <c r="H135" s="7" t="s">
        <v>183</v>
      </c>
      <c r="I135" s="7" t="s">
        <v>60</v>
      </c>
    </row>
    <row r="136" customFormat="false" ht="35.05" hidden="false" customHeight="false" outlineLevel="0" collapsed="false">
      <c r="A136" s="6" t="s">
        <v>58</v>
      </c>
      <c r="B136" s="6" t="s">
        <v>460</v>
      </c>
      <c r="C136" s="6" t="s">
        <v>461</v>
      </c>
      <c r="D136" s="6" t="s">
        <v>181</v>
      </c>
      <c r="E136" s="6" t="n">
        <v>4</v>
      </c>
      <c r="F136" s="6" t="s">
        <v>50</v>
      </c>
      <c r="G136" s="7" t="s">
        <v>186</v>
      </c>
      <c r="H136" s="7" t="s">
        <v>187</v>
      </c>
      <c r="I136" s="7" t="s">
        <v>60</v>
      </c>
    </row>
    <row r="137" customFormat="false" ht="35.05" hidden="false" customHeight="false" outlineLevel="0" collapsed="false">
      <c r="A137" s="6" t="s">
        <v>58</v>
      </c>
      <c r="B137" s="6" t="s">
        <v>462</v>
      </c>
      <c r="C137" s="6" t="s">
        <v>397</v>
      </c>
      <c r="D137" s="6" t="s">
        <v>463</v>
      </c>
      <c r="E137" s="6" t="n">
        <v>4</v>
      </c>
      <c r="F137" s="6" t="s">
        <v>50</v>
      </c>
      <c r="G137" s="7" t="s">
        <v>198</v>
      </c>
      <c r="H137" s="7" t="s">
        <v>199</v>
      </c>
      <c r="I137" s="7" t="s">
        <v>60</v>
      </c>
    </row>
    <row r="138" customFormat="false" ht="35.05" hidden="false" customHeight="false" outlineLevel="0" collapsed="false">
      <c r="A138" s="6" t="s">
        <v>58</v>
      </c>
      <c r="B138" s="6" t="s">
        <v>464</v>
      </c>
      <c r="C138" s="6" t="s">
        <v>399</v>
      </c>
      <c r="D138" s="6" t="s">
        <v>463</v>
      </c>
      <c r="E138" s="6" t="n">
        <v>4</v>
      </c>
      <c r="F138" s="6" t="s">
        <v>50</v>
      </c>
      <c r="G138" s="7" t="s">
        <v>202</v>
      </c>
      <c r="H138" s="7" t="s">
        <v>203</v>
      </c>
      <c r="I138" s="7" t="s">
        <v>60</v>
      </c>
    </row>
    <row r="139" customFormat="false" ht="35.05" hidden="false" customHeight="false" outlineLevel="0" collapsed="false">
      <c r="A139" s="6" t="s">
        <v>58</v>
      </c>
      <c r="B139" s="6" t="s">
        <v>465</v>
      </c>
      <c r="C139" s="6" t="s">
        <v>466</v>
      </c>
      <c r="D139" s="6" t="s">
        <v>467</v>
      </c>
      <c r="E139" s="6" t="n">
        <v>3</v>
      </c>
      <c r="F139" s="6" t="s">
        <v>50</v>
      </c>
      <c r="G139" s="7" t="s">
        <v>468</v>
      </c>
      <c r="H139" s="7" t="s">
        <v>469</v>
      </c>
      <c r="I139" s="7" t="s">
        <v>60</v>
      </c>
    </row>
    <row r="140" customFormat="false" ht="35.05" hidden="false" customHeight="false" outlineLevel="0" collapsed="false">
      <c r="A140" s="6" t="s">
        <v>58</v>
      </c>
      <c r="B140" s="6" t="s">
        <v>470</v>
      </c>
      <c r="C140" s="6" t="s">
        <v>471</v>
      </c>
      <c r="D140" s="6" t="s">
        <v>472</v>
      </c>
      <c r="E140" s="6" t="n">
        <v>3</v>
      </c>
      <c r="F140" s="6" t="s">
        <v>50</v>
      </c>
      <c r="G140" s="7" t="s">
        <v>473</v>
      </c>
      <c r="H140" s="7" t="s">
        <v>474</v>
      </c>
      <c r="I140" s="7" t="s">
        <v>60</v>
      </c>
    </row>
    <row r="141" customFormat="false" ht="35.05" hidden="false" customHeight="false" outlineLevel="0" collapsed="false">
      <c r="A141" s="6" t="s">
        <v>58</v>
      </c>
      <c r="B141" s="6" t="s">
        <v>475</v>
      </c>
      <c r="C141" s="6" t="s">
        <v>476</v>
      </c>
      <c r="D141" s="6" t="s">
        <v>477</v>
      </c>
      <c r="E141" s="6" t="n">
        <v>3</v>
      </c>
      <c r="F141" s="6" t="s">
        <v>50</v>
      </c>
      <c r="G141" s="7" t="s">
        <v>478</v>
      </c>
      <c r="H141" s="7" t="s">
        <v>479</v>
      </c>
      <c r="I141" s="7" t="s">
        <v>60</v>
      </c>
    </row>
    <row r="142" customFormat="false" ht="35.05" hidden="false" customHeight="false" outlineLevel="0" collapsed="false">
      <c r="A142" s="6" t="s">
        <v>61</v>
      </c>
      <c r="B142" s="6" t="s">
        <v>480</v>
      </c>
      <c r="C142" s="6" t="s">
        <v>481</v>
      </c>
      <c r="D142" s="6" t="s">
        <v>73</v>
      </c>
      <c r="E142" s="6" t="n">
        <v>4</v>
      </c>
      <c r="F142" s="6" t="s">
        <v>63</v>
      </c>
      <c r="G142" s="7" t="s">
        <v>482</v>
      </c>
      <c r="H142" s="7" t="s">
        <v>483</v>
      </c>
      <c r="I142" s="7" t="s">
        <v>60</v>
      </c>
    </row>
    <row r="143" customFormat="false" ht="35.05" hidden="false" customHeight="false" outlineLevel="0" collapsed="false">
      <c r="A143" s="6" t="s">
        <v>61</v>
      </c>
      <c r="B143" s="6" t="s">
        <v>484</v>
      </c>
      <c r="C143" s="6" t="s">
        <v>485</v>
      </c>
      <c r="D143" s="6" t="s">
        <v>73</v>
      </c>
      <c r="E143" s="6" t="n">
        <v>4</v>
      </c>
      <c r="F143" s="6" t="s">
        <v>63</v>
      </c>
      <c r="G143" s="7" t="s">
        <v>486</v>
      </c>
      <c r="H143" s="7" t="s">
        <v>487</v>
      </c>
      <c r="I143" s="7" t="s">
        <v>60</v>
      </c>
    </row>
    <row r="144" customFormat="false" ht="35.05" hidden="false" customHeight="false" outlineLevel="0" collapsed="false">
      <c r="A144" s="6" t="s">
        <v>61</v>
      </c>
      <c r="B144" s="6" t="s">
        <v>488</v>
      </c>
      <c r="C144" s="6" t="s">
        <v>489</v>
      </c>
      <c r="D144" s="6" t="s">
        <v>73</v>
      </c>
      <c r="E144" s="6" t="n">
        <v>4</v>
      </c>
      <c r="F144" s="6" t="s">
        <v>63</v>
      </c>
      <c r="G144" s="7" t="s">
        <v>490</v>
      </c>
      <c r="H144" s="7" t="s">
        <v>491</v>
      </c>
      <c r="I144" s="7" t="s">
        <v>60</v>
      </c>
    </row>
    <row r="145" customFormat="false" ht="23.85" hidden="false" customHeight="false" outlineLevel="0" collapsed="false">
      <c r="A145" s="6" t="s">
        <v>61</v>
      </c>
      <c r="B145" s="6" t="s">
        <v>492</v>
      </c>
      <c r="C145" s="6" t="s">
        <v>213</v>
      </c>
      <c r="D145" s="6" t="s">
        <v>214</v>
      </c>
      <c r="E145" s="6" t="n">
        <v>5</v>
      </c>
      <c r="F145" s="6" t="s">
        <v>63</v>
      </c>
      <c r="G145" s="7" t="s">
        <v>493</v>
      </c>
      <c r="H145" s="7" t="s">
        <v>494</v>
      </c>
      <c r="I145" s="7" t="s">
        <v>60</v>
      </c>
    </row>
    <row r="146" customFormat="false" ht="23.85" hidden="false" customHeight="false" outlineLevel="0" collapsed="false">
      <c r="A146" s="6" t="s">
        <v>61</v>
      </c>
      <c r="B146" s="6" t="s">
        <v>495</v>
      </c>
      <c r="C146" s="6" t="s">
        <v>218</v>
      </c>
      <c r="D146" s="6" t="s">
        <v>214</v>
      </c>
      <c r="E146" s="6" t="n">
        <v>5</v>
      </c>
      <c r="F146" s="6" t="s">
        <v>63</v>
      </c>
      <c r="G146" s="7" t="s">
        <v>496</v>
      </c>
      <c r="H146" s="7" t="s">
        <v>497</v>
      </c>
      <c r="I146" s="7" t="s">
        <v>60</v>
      </c>
    </row>
    <row r="147" customFormat="false" ht="35.05" hidden="false" customHeight="false" outlineLevel="0" collapsed="false">
      <c r="A147" s="6" t="s">
        <v>61</v>
      </c>
      <c r="B147" s="6" t="s">
        <v>498</v>
      </c>
      <c r="C147" s="6" t="s">
        <v>407</v>
      </c>
      <c r="D147" s="6" t="s">
        <v>214</v>
      </c>
      <c r="E147" s="6" t="n">
        <v>5</v>
      </c>
      <c r="F147" s="6" t="s">
        <v>63</v>
      </c>
      <c r="G147" s="7" t="s">
        <v>499</v>
      </c>
      <c r="H147" s="7" t="s">
        <v>500</v>
      </c>
      <c r="I147" s="7" t="s">
        <v>60</v>
      </c>
    </row>
    <row r="148" customFormat="false" ht="35.05" hidden="false" customHeight="false" outlineLevel="0" collapsed="false">
      <c r="A148" s="6" t="s">
        <v>61</v>
      </c>
      <c r="B148" s="6" t="s">
        <v>501</v>
      </c>
      <c r="C148" s="6" t="s">
        <v>502</v>
      </c>
      <c r="D148" s="6" t="s">
        <v>214</v>
      </c>
      <c r="E148" s="6" t="n">
        <v>3</v>
      </c>
      <c r="F148" s="6" t="s">
        <v>63</v>
      </c>
      <c r="G148" s="7" t="s">
        <v>503</v>
      </c>
      <c r="H148" s="7" t="s">
        <v>504</v>
      </c>
      <c r="I148" s="7" t="s">
        <v>60</v>
      </c>
    </row>
    <row r="149" customFormat="false" ht="35.05" hidden="false" customHeight="false" outlineLevel="0" collapsed="false">
      <c r="A149" s="6" t="s">
        <v>61</v>
      </c>
      <c r="B149" s="6" t="s">
        <v>505</v>
      </c>
      <c r="C149" s="6" t="s">
        <v>506</v>
      </c>
      <c r="D149" s="6" t="s">
        <v>214</v>
      </c>
      <c r="E149" s="6" t="n">
        <v>5</v>
      </c>
      <c r="F149" s="6" t="s">
        <v>63</v>
      </c>
      <c r="G149" s="7" t="s">
        <v>439</v>
      </c>
      <c r="H149" s="7" t="s">
        <v>440</v>
      </c>
      <c r="I149" s="7" t="s">
        <v>60</v>
      </c>
    </row>
    <row r="150" customFormat="false" ht="35.05" hidden="false" customHeight="false" outlineLevel="0" collapsed="false">
      <c r="A150" s="6" t="s">
        <v>61</v>
      </c>
      <c r="B150" s="6" t="s">
        <v>507</v>
      </c>
      <c r="C150" s="6" t="s">
        <v>356</v>
      </c>
      <c r="D150" s="6" t="s">
        <v>119</v>
      </c>
      <c r="E150" s="6" t="n">
        <v>4</v>
      </c>
      <c r="F150" s="6" t="s">
        <v>63</v>
      </c>
      <c r="G150" s="7" t="s">
        <v>120</v>
      </c>
      <c r="H150" s="7" t="s">
        <v>121</v>
      </c>
      <c r="I150" s="7" t="s">
        <v>60</v>
      </c>
    </row>
    <row r="151" customFormat="false" ht="35.05" hidden="false" customHeight="false" outlineLevel="0" collapsed="false">
      <c r="A151" s="6" t="s">
        <v>61</v>
      </c>
      <c r="B151" s="6" t="s">
        <v>508</v>
      </c>
      <c r="C151" s="6" t="s">
        <v>358</v>
      </c>
      <c r="D151" s="6" t="s">
        <v>119</v>
      </c>
      <c r="E151" s="6" t="n">
        <v>4</v>
      </c>
      <c r="F151" s="6" t="s">
        <v>63</v>
      </c>
      <c r="G151" s="7" t="s">
        <v>124</v>
      </c>
      <c r="H151" s="7" t="s">
        <v>125</v>
      </c>
      <c r="I151" s="7" t="s">
        <v>60</v>
      </c>
    </row>
    <row r="152" customFormat="false" ht="35.05" hidden="false" customHeight="false" outlineLevel="0" collapsed="false">
      <c r="A152" s="6" t="s">
        <v>61</v>
      </c>
      <c r="B152" s="6" t="s">
        <v>509</v>
      </c>
      <c r="C152" s="6" t="s">
        <v>510</v>
      </c>
      <c r="D152" s="6" t="s">
        <v>144</v>
      </c>
      <c r="E152" s="6" t="n">
        <v>5</v>
      </c>
      <c r="F152" s="6" t="s">
        <v>63</v>
      </c>
      <c r="G152" s="7" t="s">
        <v>145</v>
      </c>
      <c r="H152" s="7" t="s">
        <v>146</v>
      </c>
      <c r="I152" s="7" t="s">
        <v>60</v>
      </c>
    </row>
    <row r="153" customFormat="false" ht="35.05" hidden="false" customHeight="false" outlineLevel="0" collapsed="false">
      <c r="A153" s="6" t="s">
        <v>61</v>
      </c>
      <c r="B153" s="6" t="s">
        <v>511</v>
      </c>
      <c r="C153" s="6" t="s">
        <v>512</v>
      </c>
      <c r="D153" s="6" t="s">
        <v>181</v>
      </c>
      <c r="E153" s="6" t="n">
        <v>5</v>
      </c>
      <c r="F153" s="6" t="s">
        <v>63</v>
      </c>
      <c r="G153" s="7" t="s">
        <v>182</v>
      </c>
      <c r="H153" s="7" t="s">
        <v>183</v>
      </c>
      <c r="I153" s="7" t="s">
        <v>60</v>
      </c>
    </row>
    <row r="154" customFormat="false" ht="35.05" hidden="false" customHeight="false" outlineLevel="0" collapsed="false">
      <c r="A154" s="6" t="s">
        <v>61</v>
      </c>
      <c r="B154" s="6" t="s">
        <v>513</v>
      </c>
      <c r="C154" s="6" t="s">
        <v>397</v>
      </c>
      <c r="D154" s="6" t="s">
        <v>463</v>
      </c>
      <c r="E154" s="6" t="n">
        <v>5</v>
      </c>
      <c r="F154" s="6" t="s">
        <v>63</v>
      </c>
      <c r="G154" s="7" t="s">
        <v>198</v>
      </c>
      <c r="H154" s="7" t="s">
        <v>199</v>
      </c>
      <c r="I154" s="7" t="s">
        <v>60</v>
      </c>
    </row>
    <row r="155" customFormat="false" ht="35.05" hidden="false" customHeight="false" outlineLevel="0" collapsed="false">
      <c r="A155" s="6" t="s">
        <v>61</v>
      </c>
      <c r="B155" s="6" t="s">
        <v>514</v>
      </c>
      <c r="C155" s="6" t="s">
        <v>401</v>
      </c>
      <c r="D155" s="6" t="s">
        <v>463</v>
      </c>
      <c r="E155" s="6" t="n">
        <v>4</v>
      </c>
      <c r="F155" s="6" t="s">
        <v>63</v>
      </c>
      <c r="G155" s="7" t="s">
        <v>515</v>
      </c>
      <c r="H155" s="7" t="s">
        <v>516</v>
      </c>
      <c r="I155" s="7" t="s">
        <v>60</v>
      </c>
    </row>
  </sheetData>
  <autoFilter ref="A1:I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6" min="5" style="0" width="44"/>
  </cols>
  <sheetData>
    <row r="1" customFormat="false" ht="26.85" hidden="false" customHeight="false" outlineLevel="0" collapsed="false">
      <c r="A1" s="5" t="s">
        <v>517</v>
      </c>
      <c r="B1" s="5" t="s">
        <v>518</v>
      </c>
      <c r="C1" s="5" t="s">
        <v>519</v>
      </c>
      <c r="D1" s="5" t="s">
        <v>520</v>
      </c>
      <c r="E1" s="5" t="s">
        <v>521</v>
      </c>
      <c r="F1" s="5" t="s">
        <v>522</v>
      </c>
    </row>
    <row r="2" customFormat="false" ht="15" hidden="false" customHeight="false" outlineLevel="0" collapsed="false">
      <c r="A2" s="6" t="s">
        <v>523</v>
      </c>
      <c r="B2" s="6" t="s">
        <v>524</v>
      </c>
      <c r="C2" s="7" t="s">
        <v>525</v>
      </c>
      <c r="D2" s="6" t="s">
        <v>526</v>
      </c>
      <c r="E2" s="7" t="s">
        <v>527</v>
      </c>
      <c r="F2" s="7" t="s">
        <v>528</v>
      </c>
    </row>
    <row r="3" customFormat="false" ht="15" hidden="false" customHeight="false" outlineLevel="0" collapsed="false">
      <c r="A3" s="6" t="s">
        <v>529</v>
      </c>
      <c r="B3" s="6" t="s">
        <v>530</v>
      </c>
      <c r="C3" s="7" t="s">
        <v>531</v>
      </c>
      <c r="D3" s="6" t="s">
        <v>532</v>
      </c>
      <c r="E3" s="7" t="s">
        <v>533</v>
      </c>
      <c r="F3" s="7" t="s">
        <v>534</v>
      </c>
    </row>
    <row r="4" customFormat="false" ht="15" hidden="false" customHeight="false" outlineLevel="0" collapsed="false">
      <c r="A4" s="6" t="s">
        <v>535</v>
      </c>
      <c r="B4" s="6" t="s">
        <v>536</v>
      </c>
      <c r="C4" s="7" t="s">
        <v>537</v>
      </c>
      <c r="D4" s="6" t="s">
        <v>538</v>
      </c>
      <c r="E4" s="7" t="s">
        <v>539</v>
      </c>
      <c r="F4" s="7" t="s">
        <v>540</v>
      </c>
    </row>
    <row r="5" customFormat="false" ht="15" hidden="false" customHeight="false" outlineLevel="0" collapsed="false">
      <c r="A5" s="6" t="s">
        <v>541</v>
      </c>
      <c r="B5" s="6" t="s">
        <v>542</v>
      </c>
      <c r="C5" s="7" t="s">
        <v>543</v>
      </c>
      <c r="D5" s="6" t="s">
        <v>544</v>
      </c>
      <c r="E5" s="7" t="s">
        <v>545</v>
      </c>
      <c r="F5" s="7" t="s">
        <v>546</v>
      </c>
    </row>
    <row r="6" customFormat="false" ht="15" hidden="false" customHeight="false" outlineLevel="0" collapsed="false">
      <c r="A6" s="6" t="s">
        <v>547</v>
      </c>
      <c r="B6" s="6" t="s">
        <v>548</v>
      </c>
      <c r="C6" s="7" t="s">
        <v>549</v>
      </c>
      <c r="D6" s="6" t="s">
        <v>526</v>
      </c>
      <c r="E6" s="7" t="s">
        <v>550</v>
      </c>
      <c r="F6" s="7" t="s">
        <v>540</v>
      </c>
    </row>
    <row r="7" customFormat="false" ht="15" hidden="false" customHeight="false" outlineLevel="0" collapsed="false">
      <c r="A7" s="6" t="s">
        <v>551</v>
      </c>
      <c r="B7" s="6" t="s">
        <v>552</v>
      </c>
      <c r="C7" s="7" t="s">
        <v>553</v>
      </c>
      <c r="D7" s="6" t="s">
        <v>554</v>
      </c>
      <c r="E7" s="7" t="s">
        <v>555</v>
      </c>
      <c r="F7" s="7" t="s">
        <v>556</v>
      </c>
    </row>
    <row r="8" customFormat="false" ht="23.85" hidden="false" customHeight="false" outlineLevel="0" collapsed="false">
      <c r="A8" s="6" t="s">
        <v>557</v>
      </c>
      <c r="B8" s="6" t="s">
        <v>558</v>
      </c>
      <c r="C8" s="7" t="s">
        <v>559</v>
      </c>
      <c r="D8" s="6" t="s">
        <v>560</v>
      </c>
      <c r="E8" s="7" t="s">
        <v>561</v>
      </c>
      <c r="F8" s="7" t="s">
        <v>562</v>
      </c>
    </row>
    <row r="9" customFormat="false" ht="15" hidden="false" customHeight="false" outlineLevel="0" collapsed="false">
      <c r="A9" s="6" t="s">
        <v>563</v>
      </c>
      <c r="B9" s="6" t="s">
        <v>564</v>
      </c>
      <c r="C9" s="7" t="s">
        <v>565</v>
      </c>
      <c r="D9" s="6" t="s">
        <v>566</v>
      </c>
      <c r="E9" s="7" t="s">
        <v>567</v>
      </c>
      <c r="F9" s="7" t="s">
        <v>562</v>
      </c>
    </row>
    <row r="10" customFormat="false" ht="15" hidden="false" customHeight="false" outlineLevel="0" collapsed="false">
      <c r="A10" s="6" t="s">
        <v>568</v>
      </c>
      <c r="B10" s="6" t="s">
        <v>569</v>
      </c>
      <c r="C10" s="7" t="s">
        <v>570</v>
      </c>
      <c r="D10" s="6" t="s">
        <v>526</v>
      </c>
      <c r="E10" s="7" t="s">
        <v>571</v>
      </c>
      <c r="F10" s="7" t="s">
        <v>572</v>
      </c>
    </row>
    <row r="11" customFormat="false" ht="15" hidden="false" customHeight="false" outlineLevel="0" collapsed="false">
      <c r="A11" s="6" t="s">
        <v>573</v>
      </c>
      <c r="B11" s="6" t="s">
        <v>574</v>
      </c>
      <c r="C11" s="7" t="s">
        <v>575</v>
      </c>
      <c r="D11" s="6" t="s">
        <v>576</v>
      </c>
      <c r="E11" s="7" t="s">
        <v>577</v>
      </c>
      <c r="F11" s="7" t="s">
        <v>578</v>
      </c>
    </row>
    <row r="12" customFormat="false" ht="23.85" hidden="false" customHeight="false" outlineLevel="0" collapsed="false">
      <c r="A12" s="6" t="s">
        <v>579</v>
      </c>
      <c r="B12" s="6" t="s">
        <v>580</v>
      </c>
      <c r="C12" s="7" t="s">
        <v>581</v>
      </c>
      <c r="D12" s="6" t="s">
        <v>582</v>
      </c>
      <c r="E12" s="7" t="s">
        <v>583</v>
      </c>
      <c r="F12" s="7" t="s">
        <v>584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28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70"/>
  </cols>
  <sheetData>
    <row r="1" customFormat="false" ht="52.2" hidden="false" customHeight="false" outlineLevel="0" collapsed="false">
      <c r="A1" s="5" t="s">
        <v>585</v>
      </c>
      <c r="B1" s="5" t="s">
        <v>586</v>
      </c>
      <c r="C1" s="5" t="s">
        <v>587</v>
      </c>
      <c r="D1" s="5" t="s">
        <v>588</v>
      </c>
      <c r="E1" s="5" t="s">
        <v>589</v>
      </c>
      <c r="F1" s="5" t="s">
        <v>590</v>
      </c>
      <c r="G1" s="5" t="s">
        <v>45</v>
      </c>
      <c r="H1" s="5" t="s">
        <v>591</v>
      </c>
      <c r="I1" s="5" t="s">
        <v>592</v>
      </c>
      <c r="J1" s="5" t="s">
        <v>593</v>
      </c>
      <c r="K1" s="5" t="s">
        <v>594</v>
      </c>
      <c r="L1" s="5" t="s">
        <v>595</v>
      </c>
      <c r="M1" s="5" t="s">
        <v>596</v>
      </c>
      <c r="N1" s="5" t="s">
        <v>597</v>
      </c>
      <c r="O1" s="5" t="s">
        <v>598</v>
      </c>
      <c r="P1" s="5" t="s">
        <v>1</v>
      </c>
      <c r="Q1" s="5" t="s">
        <v>599</v>
      </c>
      <c r="R1" s="5" t="s">
        <v>600</v>
      </c>
    </row>
    <row r="2" customFormat="false" ht="15" hidden="false" customHeight="false" outlineLevel="0" collapsed="false">
      <c r="A2" s="6" t="s">
        <v>601</v>
      </c>
      <c r="B2" s="8" t="n">
        <v>44213</v>
      </c>
      <c r="C2" s="6" t="s">
        <v>57</v>
      </c>
      <c r="D2" s="6" t="s">
        <v>383</v>
      </c>
      <c r="E2" s="6" t="s">
        <v>172</v>
      </c>
      <c r="F2" s="6" t="n">
        <v>4</v>
      </c>
      <c r="G2" s="6" t="s">
        <v>50</v>
      </c>
      <c r="H2" s="6" t="s">
        <v>602</v>
      </c>
      <c r="I2" s="6" t="s">
        <v>171</v>
      </c>
      <c r="J2" s="6" t="s">
        <v>172</v>
      </c>
      <c r="K2" s="6" t="n">
        <v>4</v>
      </c>
      <c r="L2" s="6" t="s">
        <v>603</v>
      </c>
      <c r="M2" s="6" t="s">
        <v>603</v>
      </c>
      <c r="N2" s="6" t="s">
        <v>604</v>
      </c>
      <c r="O2" s="6" t="s">
        <v>605</v>
      </c>
      <c r="P2" s="6" t="s">
        <v>606</v>
      </c>
      <c r="Q2" s="6" t="s">
        <v>603</v>
      </c>
      <c r="R2" s="7" t="s">
        <v>607</v>
      </c>
    </row>
    <row r="3" customFormat="false" ht="15" hidden="false" customHeight="false" outlineLevel="0" collapsed="false">
      <c r="A3" s="6" t="s">
        <v>608</v>
      </c>
      <c r="B3" s="8" t="n">
        <v>44219</v>
      </c>
      <c r="C3" s="6" t="s">
        <v>61</v>
      </c>
      <c r="D3" s="6" t="s">
        <v>509</v>
      </c>
      <c r="E3" s="6" t="s">
        <v>510</v>
      </c>
      <c r="F3" s="6" t="n">
        <v>5</v>
      </c>
      <c r="G3" s="6" t="s">
        <v>63</v>
      </c>
      <c r="H3" s="6" t="s">
        <v>602</v>
      </c>
      <c r="I3" s="6" t="s">
        <v>142</v>
      </c>
      <c r="J3" s="6" t="s">
        <v>143</v>
      </c>
      <c r="K3" s="6" t="n">
        <v>3.33</v>
      </c>
      <c r="L3" s="6" t="s">
        <v>603</v>
      </c>
      <c r="M3" s="6" t="s">
        <v>609</v>
      </c>
      <c r="N3" s="6" t="s">
        <v>604</v>
      </c>
      <c r="O3" s="6" t="s">
        <v>610</v>
      </c>
      <c r="P3" s="6" t="s">
        <v>606</v>
      </c>
      <c r="Q3" s="6" t="s">
        <v>603</v>
      </c>
      <c r="R3" s="7" t="s">
        <v>611</v>
      </c>
    </row>
    <row r="4" customFormat="false" ht="15" hidden="false" customHeight="false" outlineLevel="0" collapsed="false">
      <c r="A4" s="6" t="s">
        <v>612</v>
      </c>
      <c r="B4" s="8" t="n">
        <v>44258</v>
      </c>
      <c r="C4" s="6" t="s">
        <v>57</v>
      </c>
      <c r="D4" s="6" t="s">
        <v>359</v>
      </c>
      <c r="E4" s="6" t="s">
        <v>360</v>
      </c>
      <c r="F4" s="6" t="n">
        <v>4</v>
      </c>
      <c r="G4" s="6" t="s">
        <v>50</v>
      </c>
      <c r="H4" s="6" t="s">
        <v>602</v>
      </c>
      <c r="I4" s="6" t="s">
        <v>126</v>
      </c>
      <c r="J4" s="6" t="s">
        <v>127</v>
      </c>
      <c r="K4" s="6" t="n">
        <v>4</v>
      </c>
      <c r="L4" s="6" t="s">
        <v>603</v>
      </c>
      <c r="M4" s="6" t="s">
        <v>603</v>
      </c>
      <c r="N4" s="6" t="s">
        <v>613</v>
      </c>
      <c r="O4" s="6" t="s">
        <v>614</v>
      </c>
      <c r="P4" s="6" t="s">
        <v>606</v>
      </c>
      <c r="Q4" s="6" t="s">
        <v>603</v>
      </c>
      <c r="R4" s="7" t="s">
        <v>615</v>
      </c>
    </row>
    <row r="5" customFormat="false" ht="15" hidden="false" customHeight="false" outlineLevel="0" collapsed="false">
      <c r="A5" s="6" t="s">
        <v>616</v>
      </c>
      <c r="B5" s="8" t="n">
        <v>44271</v>
      </c>
      <c r="C5" s="6" t="s">
        <v>61</v>
      </c>
      <c r="D5" s="6" t="s">
        <v>495</v>
      </c>
      <c r="E5" s="6" t="s">
        <v>218</v>
      </c>
      <c r="F5" s="6" t="n">
        <v>5</v>
      </c>
      <c r="G5" s="6" t="s">
        <v>63</v>
      </c>
      <c r="H5" s="6" t="s">
        <v>602</v>
      </c>
      <c r="I5" s="6" t="s">
        <v>217</v>
      </c>
      <c r="J5" s="6" t="s">
        <v>218</v>
      </c>
      <c r="K5" s="6" t="n">
        <v>3.33</v>
      </c>
      <c r="L5" s="6" t="s">
        <v>603</v>
      </c>
      <c r="M5" s="6" t="s">
        <v>603</v>
      </c>
      <c r="N5" s="6" t="s">
        <v>617</v>
      </c>
      <c r="O5" s="6" t="s">
        <v>618</v>
      </c>
      <c r="P5" s="6" t="s">
        <v>606</v>
      </c>
      <c r="Q5" s="6" t="s">
        <v>603</v>
      </c>
      <c r="R5" s="7" t="s">
        <v>619</v>
      </c>
    </row>
    <row r="6" customFormat="false" ht="15" hidden="false" customHeight="false" outlineLevel="0" collapsed="false">
      <c r="A6" s="6" t="s">
        <v>620</v>
      </c>
      <c r="B6" s="8" t="n">
        <v>44313</v>
      </c>
      <c r="C6" s="6" t="s">
        <v>53</v>
      </c>
      <c r="D6" s="6" t="s">
        <v>241</v>
      </c>
      <c r="E6" s="6" t="s">
        <v>242</v>
      </c>
      <c r="F6" s="6" t="n">
        <v>5</v>
      </c>
      <c r="G6" s="6" t="s">
        <v>50</v>
      </c>
      <c r="H6" s="6" t="s">
        <v>602</v>
      </c>
      <c r="I6" s="6" t="s">
        <v>71</v>
      </c>
      <c r="J6" s="6" t="s">
        <v>72</v>
      </c>
      <c r="K6" s="6" t="n">
        <v>5</v>
      </c>
      <c r="L6" s="6" t="s">
        <v>603</v>
      </c>
      <c r="M6" s="6" t="s">
        <v>603</v>
      </c>
      <c r="N6" s="6" t="s">
        <v>621</v>
      </c>
      <c r="O6" s="6" t="s">
        <v>622</v>
      </c>
      <c r="P6" s="6" t="s">
        <v>606</v>
      </c>
      <c r="Q6" s="6" t="s">
        <v>603</v>
      </c>
      <c r="R6" s="7" t="s">
        <v>623</v>
      </c>
    </row>
    <row r="7" customFormat="false" ht="23.85" hidden="false" customHeight="false" outlineLevel="0" collapsed="false">
      <c r="A7" s="6" t="s">
        <v>624</v>
      </c>
      <c r="B7" s="8" t="n">
        <v>44319</v>
      </c>
      <c r="C7" s="6" t="s">
        <v>53</v>
      </c>
      <c r="D7" s="6" t="s">
        <v>260</v>
      </c>
      <c r="E7" s="6" t="s">
        <v>261</v>
      </c>
      <c r="F7" s="6" t="n">
        <v>4</v>
      </c>
      <c r="G7" s="6" t="s">
        <v>50</v>
      </c>
      <c r="H7" s="6" t="s">
        <v>625</v>
      </c>
      <c r="I7" s="6" t="s">
        <v>626</v>
      </c>
      <c r="J7" s="6" t="s">
        <v>51</v>
      </c>
      <c r="K7" s="6" t="n">
        <v>4</v>
      </c>
      <c r="L7" s="6" t="s">
        <v>609</v>
      </c>
      <c r="M7" s="6" t="s">
        <v>609</v>
      </c>
      <c r="N7" s="6" t="s">
        <v>621</v>
      </c>
      <c r="O7" s="6" t="s">
        <v>622</v>
      </c>
      <c r="P7" s="6" t="s">
        <v>606</v>
      </c>
      <c r="Q7" s="6" t="s">
        <v>603</v>
      </c>
      <c r="R7" s="7" t="s">
        <v>627</v>
      </c>
    </row>
    <row r="8" customFormat="false" ht="15" hidden="false" customHeight="false" outlineLevel="0" collapsed="false">
      <c r="A8" s="6" t="s">
        <v>628</v>
      </c>
      <c r="B8" s="8" t="n">
        <v>44341</v>
      </c>
      <c r="C8" s="6" t="s">
        <v>53</v>
      </c>
      <c r="D8" s="6" t="s">
        <v>257</v>
      </c>
      <c r="E8" s="6" t="s">
        <v>258</v>
      </c>
      <c r="F8" s="6" t="n">
        <v>4</v>
      </c>
      <c r="G8" s="6" t="s">
        <v>50</v>
      </c>
      <c r="H8" s="6" t="s">
        <v>602</v>
      </c>
      <c r="I8" s="6" t="s">
        <v>89</v>
      </c>
      <c r="J8" s="6" t="s">
        <v>90</v>
      </c>
      <c r="K8" s="6" t="n">
        <v>4</v>
      </c>
      <c r="L8" s="6" t="s">
        <v>603</v>
      </c>
      <c r="M8" s="6" t="s">
        <v>603</v>
      </c>
      <c r="N8" s="6" t="s">
        <v>621</v>
      </c>
      <c r="O8" s="6" t="s">
        <v>629</v>
      </c>
      <c r="P8" s="6" t="s">
        <v>606</v>
      </c>
      <c r="Q8" s="6" t="s">
        <v>603</v>
      </c>
      <c r="R8" s="7" t="s">
        <v>630</v>
      </c>
    </row>
    <row r="9" customFormat="false" ht="23.85" hidden="false" customHeight="false" outlineLevel="0" collapsed="false">
      <c r="A9" s="6" t="s">
        <v>631</v>
      </c>
      <c r="B9" s="8" t="n">
        <v>44350</v>
      </c>
      <c r="C9" s="6" t="s">
        <v>58</v>
      </c>
      <c r="D9" s="6" t="s">
        <v>415</v>
      </c>
      <c r="E9" s="6" t="s">
        <v>416</v>
      </c>
      <c r="F9" s="6" t="n">
        <v>4</v>
      </c>
      <c r="G9" s="6" t="s">
        <v>50</v>
      </c>
      <c r="H9" s="6" t="s">
        <v>625</v>
      </c>
      <c r="I9" s="6" t="s">
        <v>626</v>
      </c>
      <c r="J9" s="6" t="s">
        <v>51</v>
      </c>
      <c r="K9" s="6" t="n">
        <v>4</v>
      </c>
      <c r="L9" s="6" t="s">
        <v>609</v>
      </c>
      <c r="M9" s="6" t="s">
        <v>603</v>
      </c>
      <c r="N9" s="6" t="s">
        <v>621</v>
      </c>
      <c r="O9" s="6" t="s">
        <v>629</v>
      </c>
      <c r="P9" s="6" t="s">
        <v>632</v>
      </c>
      <c r="Q9" s="6" t="s">
        <v>609</v>
      </c>
      <c r="R9" s="7" t="s">
        <v>633</v>
      </c>
    </row>
    <row r="10" customFormat="false" ht="23.85" hidden="false" customHeight="false" outlineLevel="0" collapsed="false">
      <c r="A10" s="6" t="s">
        <v>634</v>
      </c>
      <c r="B10" s="8" t="n">
        <v>44432</v>
      </c>
      <c r="C10" s="6" t="s">
        <v>58</v>
      </c>
      <c r="D10" s="6" t="s">
        <v>454</v>
      </c>
      <c r="E10" s="6" t="s">
        <v>455</v>
      </c>
      <c r="F10" s="6" t="n">
        <v>3</v>
      </c>
      <c r="G10" s="6" t="s">
        <v>50</v>
      </c>
      <c r="H10" s="6" t="s">
        <v>625</v>
      </c>
      <c r="I10" s="6" t="s">
        <v>635</v>
      </c>
      <c r="J10" s="6" t="s">
        <v>51</v>
      </c>
      <c r="K10" s="6" t="n">
        <v>3</v>
      </c>
      <c r="L10" s="6" t="s">
        <v>609</v>
      </c>
      <c r="M10" s="6" t="s">
        <v>603</v>
      </c>
      <c r="N10" s="6" t="s">
        <v>604</v>
      </c>
      <c r="O10" s="6" t="s">
        <v>605</v>
      </c>
      <c r="P10" s="6" t="s">
        <v>606</v>
      </c>
      <c r="Q10" s="6" t="s">
        <v>603</v>
      </c>
      <c r="R10" s="7" t="s">
        <v>636</v>
      </c>
    </row>
    <row r="11" customFormat="false" ht="15" hidden="false" customHeight="false" outlineLevel="0" collapsed="false">
      <c r="A11" s="6" t="s">
        <v>637</v>
      </c>
      <c r="B11" s="8" t="n">
        <v>44440</v>
      </c>
      <c r="C11" s="6" t="s">
        <v>53</v>
      </c>
      <c r="D11" s="6" t="s">
        <v>322</v>
      </c>
      <c r="E11" s="6" t="s">
        <v>323</v>
      </c>
      <c r="F11" s="6" t="n">
        <v>4</v>
      </c>
      <c r="G11" s="6" t="s">
        <v>50</v>
      </c>
      <c r="H11" s="6" t="s">
        <v>602</v>
      </c>
      <c r="I11" s="6" t="s">
        <v>212</v>
      </c>
      <c r="J11" s="6" t="s">
        <v>213</v>
      </c>
      <c r="K11" s="6" t="n">
        <v>4</v>
      </c>
      <c r="L11" s="6" t="s">
        <v>603</v>
      </c>
      <c r="M11" s="6" t="s">
        <v>603</v>
      </c>
      <c r="N11" s="6" t="s">
        <v>617</v>
      </c>
      <c r="O11" s="6" t="s">
        <v>638</v>
      </c>
      <c r="P11" s="6" t="s">
        <v>606</v>
      </c>
      <c r="Q11" s="6" t="s">
        <v>603</v>
      </c>
      <c r="R11" s="7" t="s">
        <v>639</v>
      </c>
    </row>
    <row r="12" customFormat="false" ht="15" hidden="false" customHeight="false" outlineLevel="0" collapsed="false">
      <c r="A12" s="6" t="s">
        <v>640</v>
      </c>
      <c r="B12" s="8" t="n">
        <v>44448</v>
      </c>
      <c r="C12" s="6" t="s">
        <v>57</v>
      </c>
      <c r="D12" s="6" t="s">
        <v>387</v>
      </c>
      <c r="E12" s="6" t="s">
        <v>388</v>
      </c>
      <c r="F12" s="6" t="n">
        <v>4</v>
      </c>
      <c r="G12" s="6" t="s">
        <v>50</v>
      </c>
      <c r="H12" s="6" t="s">
        <v>602</v>
      </c>
      <c r="I12" s="6" t="s">
        <v>179</v>
      </c>
      <c r="J12" s="6" t="s">
        <v>180</v>
      </c>
      <c r="K12" s="6" t="n">
        <v>4</v>
      </c>
      <c r="L12" s="6" t="s">
        <v>603</v>
      </c>
      <c r="M12" s="6" t="s">
        <v>609</v>
      </c>
      <c r="N12" s="6" t="s">
        <v>641</v>
      </c>
      <c r="O12" s="6" t="s">
        <v>642</v>
      </c>
      <c r="P12" s="6" t="s">
        <v>606</v>
      </c>
      <c r="Q12" s="6" t="s">
        <v>603</v>
      </c>
      <c r="R12" s="7" t="s">
        <v>643</v>
      </c>
    </row>
    <row r="13" customFormat="false" ht="15" hidden="false" customHeight="false" outlineLevel="0" collapsed="false">
      <c r="A13" s="6" t="s">
        <v>644</v>
      </c>
      <c r="B13" s="8" t="n">
        <v>44452</v>
      </c>
      <c r="C13" s="6" t="s">
        <v>58</v>
      </c>
      <c r="D13" s="6" t="s">
        <v>415</v>
      </c>
      <c r="E13" s="6" t="s">
        <v>416</v>
      </c>
      <c r="F13" s="6" t="n">
        <v>4</v>
      </c>
      <c r="G13" s="6" t="s">
        <v>50</v>
      </c>
      <c r="H13" s="6" t="s">
        <v>602</v>
      </c>
      <c r="I13" s="6" t="s">
        <v>71</v>
      </c>
      <c r="J13" s="6" t="s">
        <v>72</v>
      </c>
      <c r="K13" s="6" t="n">
        <v>4</v>
      </c>
      <c r="L13" s="6" t="s">
        <v>603</v>
      </c>
      <c r="M13" s="6" t="s">
        <v>603</v>
      </c>
      <c r="N13" s="6" t="s">
        <v>621</v>
      </c>
      <c r="O13" s="6" t="s">
        <v>645</v>
      </c>
      <c r="P13" s="6" t="s">
        <v>606</v>
      </c>
      <c r="Q13" s="6" t="s">
        <v>603</v>
      </c>
      <c r="R13" s="7" t="s">
        <v>646</v>
      </c>
    </row>
    <row r="14" customFormat="false" ht="15" hidden="false" customHeight="false" outlineLevel="0" collapsed="false">
      <c r="A14" s="6" t="s">
        <v>647</v>
      </c>
      <c r="B14" s="8" t="n">
        <v>44459</v>
      </c>
      <c r="C14" s="6" t="s">
        <v>57</v>
      </c>
      <c r="D14" s="6" t="s">
        <v>385</v>
      </c>
      <c r="E14" s="6" t="s">
        <v>386</v>
      </c>
      <c r="F14" s="6" t="n">
        <v>4</v>
      </c>
      <c r="G14" s="6" t="s">
        <v>50</v>
      </c>
      <c r="H14" s="6" t="s">
        <v>625</v>
      </c>
      <c r="I14" s="6" t="s">
        <v>635</v>
      </c>
      <c r="J14" s="6" t="s">
        <v>51</v>
      </c>
      <c r="K14" s="6" t="n">
        <v>4</v>
      </c>
      <c r="L14" s="6" t="s">
        <v>609</v>
      </c>
      <c r="M14" s="6" t="s">
        <v>609</v>
      </c>
      <c r="N14" s="6" t="s">
        <v>604</v>
      </c>
      <c r="O14" s="6" t="s">
        <v>605</v>
      </c>
      <c r="P14" s="6" t="s">
        <v>632</v>
      </c>
      <c r="Q14" s="6" t="s">
        <v>609</v>
      </c>
      <c r="R14" s="7" t="s">
        <v>648</v>
      </c>
    </row>
    <row r="15" customFormat="false" ht="15" hidden="false" customHeight="false" outlineLevel="0" collapsed="false">
      <c r="A15" s="6" t="s">
        <v>649</v>
      </c>
      <c r="B15" s="8" t="n">
        <v>44471</v>
      </c>
      <c r="C15" s="6" t="s">
        <v>57</v>
      </c>
      <c r="D15" s="6" t="s">
        <v>355</v>
      </c>
      <c r="E15" s="6" t="s">
        <v>356</v>
      </c>
      <c r="F15" s="6" t="n">
        <v>4</v>
      </c>
      <c r="G15" s="6" t="s">
        <v>50</v>
      </c>
      <c r="H15" s="6" t="s">
        <v>602</v>
      </c>
      <c r="I15" s="6" t="s">
        <v>117</v>
      </c>
      <c r="J15" s="6" t="s">
        <v>118</v>
      </c>
      <c r="K15" s="6" t="n">
        <v>4</v>
      </c>
      <c r="L15" s="6" t="s">
        <v>603</v>
      </c>
      <c r="M15" s="6" t="s">
        <v>603</v>
      </c>
      <c r="N15" s="6" t="s">
        <v>613</v>
      </c>
      <c r="O15" s="6" t="s">
        <v>614</v>
      </c>
      <c r="P15" s="6" t="s">
        <v>606</v>
      </c>
      <c r="Q15" s="6" t="s">
        <v>603</v>
      </c>
      <c r="R15" s="7" t="s">
        <v>650</v>
      </c>
    </row>
    <row r="16" customFormat="false" ht="15" hidden="false" customHeight="false" outlineLevel="0" collapsed="false">
      <c r="A16" s="6" t="s">
        <v>651</v>
      </c>
      <c r="B16" s="8" t="n">
        <v>44482</v>
      </c>
      <c r="C16" s="6" t="s">
        <v>53</v>
      </c>
      <c r="D16" s="6" t="s">
        <v>326</v>
      </c>
      <c r="E16" s="6" t="s">
        <v>327</v>
      </c>
      <c r="F16" s="6" t="n">
        <v>4</v>
      </c>
      <c r="G16" s="6" t="s">
        <v>50</v>
      </c>
      <c r="H16" s="6" t="s">
        <v>602</v>
      </c>
      <c r="I16" s="6" t="s">
        <v>221</v>
      </c>
      <c r="J16" s="6" t="s">
        <v>222</v>
      </c>
      <c r="K16" s="6" t="n">
        <v>4</v>
      </c>
      <c r="L16" s="6" t="s">
        <v>603</v>
      </c>
      <c r="M16" s="6" t="s">
        <v>609</v>
      </c>
      <c r="N16" s="6" t="s">
        <v>617</v>
      </c>
      <c r="O16" s="6" t="s">
        <v>638</v>
      </c>
      <c r="P16" s="6" t="s">
        <v>606</v>
      </c>
      <c r="Q16" s="6" t="s">
        <v>603</v>
      </c>
      <c r="R16" s="7" t="s">
        <v>652</v>
      </c>
    </row>
    <row r="17" customFormat="false" ht="15" hidden="false" customHeight="false" outlineLevel="0" collapsed="false">
      <c r="A17" s="6" t="s">
        <v>653</v>
      </c>
      <c r="B17" s="8" t="n">
        <v>44487</v>
      </c>
      <c r="C17" s="6" t="s">
        <v>58</v>
      </c>
      <c r="D17" s="6" t="s">
        <v>417</v>
      </c>
      <c r="E17" s="6" t="s">
        <v>418</v>
      </c>
      <c r="F17" s="6" t="n">
        <v>3</v>
      </c>
      <c r="G17" s="6" t="s">
        <v>50</v>
      </c>
      <c r="H17" s="6" t="s">
        <v>575</v>
      </c>
      <c r="I17" s="6" t="s">
        <v>51</v>
      </c>
      <c r="J17" s="6" t="s">
        <v>51</v>
      </c>
      <c r="K17" s="6" t="n">
        <v>0</v>
      </c>
      <c r="L17" s="6" t="s">
        <v>609</v>
      </c>
      <c r="M17" s="6" t="s">
        <v>609</v>
      </c>
      <c r="N17" s="6" t="s">
        <v>621</v>
      </c>
      <c r="O17" s="6" t="s">
        <v>622</v>
      </c>
      <c r="P17" s="6" t="s">
        <v>606</v>
      </c>
      <c r="Q17" s="6" t="s">
        <v>603</v>
      </c>
      <c r="R17" s="7" t="s">
        <v>654</v>
      </c>
    </row>
    <row r="18" customFormat="false" ht="15" hidden="false" customHeight="false" outlineLevel="0" collapsed="false">
      <c r="A18" s="6" t="s">
        <v>655</v>
      </c>
      <c r="B18" s="8" t="n">
        <v>44495</v>
      </c>
      <c r="C18" s="6" t="s">
        <v>53</v>
      </c>
      <c r="D18" s="6" t="s">
        <v>294</v>
      </c>
      <c r="E18" s="6" t="s">
        <v>172</v>
      </c>
      <c r="F18" s="6" t="n">
        <v>4</v>
      </c>
      <c r="G18" s="6" t="s">
        <v>50</v>
      </c>
      <c r="H18" s="6" t="s">
        <v>602</v>
      </c>
      <c r="I18" s="6" t="s">
        <v>171</v>
      </c>
      <c r="J18" s="6" t="s">
        <v>172</v>
      </c>
      <c r="K18" s="6" t="n">
        <v>4</v>
      </c>
      <c r="L18" s="6" t="s">
        <v>603</v>
      </c>
      <c r="M18" s="6" t="s">
        <v>603</v>
      </c>
      <c r="N18" s="6" t="s">
        <v>604</v>
      </c>
      <c r="O18" s="6" t="s">
        <v>656</v>
      </c>
      <c r="P18" s="6" t="s">
        <v>606</v>
      </c>
      <c r="Q18" s="6" t="s">
        <v>603</v>
      </c>
      <c r="R18" s="7" t="s">
        <v>607</v>
      </c>
    </row>
    <row r="19" customFormat="false" ht="15" hidden="false" customHeight="false" outlineLevel="0" collapsed="false">
      <c r="A19" s="6" t="s">
        <v>657</v>
      </c>
      <c r="B19" s="8" t="n">
        <v>44501</v>
      </c>
      <c r="C19" s="6" t="s">
        <v>57</v>
      </c>
      <c r="D19" s="6" t="s">
        <v>413</v>
      </c>
      <c r="E19" s="6" t="s">
        <v>414</v>
      </c>
      <c r="F19" s="6" t="n">
        <v>4</v>
      </c>
      <c r="G19" s="6" t="s">
        <v>50</v>
      </c>
      <c r="H19" s="6" t="s">
        <v>625</v>
      </c>
      <c r="I19" s="6" t="s">
        <v>658</v>
      </c>
      <c r="J19" s="6" t="s">
        <v>51</v>
      </c>
      <c r="K19" s="6" t="n">
        <v>4</v>
      </c>
      <c r="L19" s="6" t="s">
        <v>609</v>
      </c>
      <c r="M19" s="6" t="s">
        <v>609</v>
      </c>
      <c r="N19" s="6" t="s">
        <v>617</v>
      </c>
      <c r="O19" s="6" t="s">
        <v>618</v>
      </c>
      <c r="P19" s="6" t="s">
        <v>606</v>
      </c>
      <c r="Q19" s="6" t="s">
        <v>603</v>
      </c>
      <c r="R19" s="7" t="s">
        <v>659</v>
      </c>
    </row>
    <row r="20" customFormat="false" ht="15" hidden="false" customHeight="false" outlineLevel="0" collapsed="false">
      <c r="A20" s="6" t="s">
        <v>660</v>
      </c>
      <c r="B20" s="8" t="n">
        <v>44533</v>
      </c>
      <c r="C20" s="6" t="s">
        <v>57</v>
      </c>
      <c r="D20" s="6" t="s">
        <v>389</v>
      </c>
      <c r="E20" s="6" t="s">
        <v>390</v>
      </c>
      <c r="F20" s="6" t="n">
        <v>4</v>
      </c>
      <c r="G20" s="6" t="s">
        <v>50</v>
      </c>
      <c r="H20" s="6" t="s">
        <v>602</v>
      </c>
      <c r="I20" s="6" t="s">
        <v>184</v>
      </c>
      <c r="J20" s="6" t="s">
        <v>185</v>
      </c>
      <c r="K20" s="6" t="n">
        <v>4</v>
      </c>
      <c r="L20" s="6" t="s">
        <v>603</v>
      </c>
      <c r="M20" s="6" t="s">
        <v>609</v>
      </c>
      <c r="N20" s="6" t="s">
        <v>641</v>
      </c>
      <c r="O20" s="6" t="s">
        <v>661</v>
      </c>
      <c r="P20" s="6" t="s">
        <v>606</v>
      </c>
      <c r="Q20" s="6" t="s">
        <v>603</v>
      </c>
      <c r="R20" s="7" t="s">
        <v>662</v>
      </c>
    </row>
    <row r="21" customFormat="false" ht="23.85" hidden="false" customHeight="false" outlineLevel="0" collapsed="false">
      <c r="A21" s="6" t="s">
        <v>663</v>
      </c>
      <c r="B21" s="8" t="n">
        <v>44567</v>
      </c>
      <c r="C21" s="6" t="s">
        <v>53</v>
      </c>
      <c r="D21" s="6" t="s">
        <v>253</v>
      </c>
      <c r="E21" s="6" t="s">
        <v>254</v>
      </c>
      <c r="F21" s="6" t="n">
        <v>5</v>
      </c>
      <c r="G21" s="6" t="s">
        <v>50</v>
      </c>
      <c r="H21" s="6" t="s">
        <v>625</v>
      </c>
      <c r="I21" s="6" t="s">
        <v>626</v>
      </c>
      <c r="J21" s="6" t="s">
        <v>51</v>
      </c>
      <c r="K21" s="6" t="n">
        <v>5</v>
      </c>
      <c r="L21" s="6" t="s">
        <v>609</v>
      </c>
      <c r="M21" s="6" t="s">
        <v>603</v>
      </c>
      <c r="N21" s="6" t="s">
        <v>621</v>
      </c>
      <c r="O21" s="6" t="s">
        <v>645</v>
      </c>
      <c r="P21" s="6" t="s">
        <v>606</v>
      </c>
      <c r="Q21" s="6" t="s">
        <v>603</v>
      </c>
      <c r="R21" s="7" t="s">
        <v>664</v>
      </c>
    </row>
    <row r="22" customFormat="false" ht="15" hidden="false" customHeight="false" outlineLevel="0" collapsed="false">
      <c r="A22" s="6" t="s">
        <v>665</v>
      </c>
      <c r="B22" s="8" t="n">
        <v>44583</v>
      </c>
      <c r="C22" s="6" t="s">
        <v>57</v>
      </c>
      <c r="D22" s="6" t="s">
        <v>351</v>
      </c>
      <c r="E22" s="6" t="s">
        <v>352</v>
      </c>
      <c r="F22" s="6" t="n">
        <v>4</v>
      </c>
      <c r="G22" s="6" t="s">
        <v>50</v>
      </c>
      <c r="H22" s="6" t="s">
        <v>602</v>
      </c>
      <c r="I22" s="6" t="s">
        <v>89</v>
      </c>
      <c r="J22" s="6" t="s">
        <v>90</v>
      </c>
      <c r="K22" s="6" t="n">
        <v>4</v>
      </c>
      <c r="L22" s="6" t="s">
        <v>603</v>
      </c>
      <c r="M22" s="6" t="s">
        <v>603</v>
      </c>
      <c r="N22" s="6" t="s">
        <v>621</v>
      </c>
      <c r="O22" s="6" t="s">
        <v>629</v>
      </c>
      <c r="P22" s="6" t="s">
        <v>606</v>
      </c>
      <c r="Q22" s="6" t="s">
        <v>603</v>
      </c>
      <c r="R22" s="7" t="s">
        <v>630</v>
      </c>
    </row>
    <row r="23" customFormat="false" ht="15" hidden="false" customHeight="false" outlineLevel="0" collapsed="false">
      <c r="A23" s="6" t="s">
        <v>666</v>
      </c>
      <c r="B23" s="8" t="n">
        <v>44590</v>
      </c>
      <c r="C23" s="6" t="s">
        <v>53</v>
      </c>
      <c r="D23" s="6" t="s">
        <v>276</v>
      </c>
      <c r="E23" s="6" t="s">
        <v>277</v>
      </c>
      <c r="F23" s="6" t="n">
        <v>4</v>
      </c>
      <c r="G23" s="6" t="s">
        <v>50</v>
      </c>
      <c r="H23" s="6" t="s">
        <v>602</v>
      </c>
      <c r="I23" s="6" t="s">
        <v>126</v>
      </c>
      <c r="J23" s="6" t="s">
        <v>127</v>
      </c>
      <c r="K23" s="6" t="n">
        <v>4</v>
      </c>
      <c r="L23" s="6" t="s">
        <v>603</v>
      </c>
      <c r="M23" s="6" t="s">
        <v>609</v>
      </c>
      <c r="N23" s="6" t="s">
        <v>613</v>
      </c>
      <c r="O23" s="6" t="s">
        <v>667</v>
      </c>
      <c r="P23" s="6" t="s">
        <v>606</v>
      </c>
      <c r="Q23" s="6" t="s">
        <v>603</v>
      </c>
      <c r="R23" s="7" t="s">
        <v>615</v>
      </c>
    </row>
    <row r="24" customFormat="false" ht="23.85" hidden="false" customHeight="false" outlineLevel="0" collapsed="false">
      <c r="A24" s="6" t="s">
        <v>668</v>
      </c>
      <c r="B24" s="8" t="n">
        <v>44603</v>
      </c>
      <c r="C24" s="6" t="s">
        <v>53</v>
      </c>
      <c r="D24" s="6" t="s">
        <v>316</v>
      </c>
      <c r="E24" s="6" t="s">
        <v>317</v>
      </c>
      <c r="F24" s="6" t="n">
        <v>5</v>
      </c>
      <c r="G24" s="6" t="s">
        <v>50</v>
      </c>
      <c r="H24" s="6" t="s">
        <v>669</v>
      </c>
      <c r="I24" s="6" t="s">
        <v>196</v>
      </c>
      <c r="J24" s="6" t="s">
        <v>197</v>
      </c>
      <c r="K24" s="6" t="n">
        <v>5</v>
      </c>
      <c r="L24" s="6" t="s">
        <v>603</v>
      </c>
      <c r="M24" s="6" t="s">
        <v>603</v>
      </c>
      <c r="N24" s="6" t="s">
        <v>670</v>
      </c>
      <c r="O24" s="6" t="s">
        <v>671</v>
      </c>
      <c r="P24" s="6" t="s">
        <v>632</v>
      </c>
      <c r="Q24" s="6" t="s">
        <v>609</v>
      </c>
      <c r="R24" s="7" t="s">
        <v>672</v>
      </c>
    </row>
    <row r="25" customFormat="false" ht="15" hidden="false" customHeight="false" outlineLevel="0" collapsed="false">
      <c r="A25" s="6" t="s">
        <v>673</v>
      </c>
      <c r="B25" s="8" t="n">
        <v>44608</v>
      </c>
      <c r="C25" s="6" t="s">
        <v>58</v>
      </c>
      <c r="D25" s="6" t="s">
        <v>446</v>
      </c>
      <c r="E25" s="6" t="s">
        <v>447</v>
      </c>
      <c r="F25" s="6" t="n">
        <v>3</v>
      </c>
      <c r="G25" s="6" t="s">
        <v>50</v>
      </c>
      <c r="H25" s="6" t="s">
        <v>625</v>
      </c>
      <c r="I25" s="6" t="s">
        <v>674</v>
      </c>
      <c r="J25" s="6" t="s">
        <v>51</v>
      </c>
      <c r="K25" s="6" t="n">
        <v>3</v>
      </c>
      <c r="L25" s="6" t="s">
        <v>609</v>
      </c>
      <c r="M25" s="6" t="s">
        <v>609</v>
      </c>
      <c r="N25" s="6" t="s">
        <v>675</v>
      </c>
      <c r="O25" s="6" t="s">
        <v>676</v>
      </c>
      <c r="P25" s="6" t="s">
        <v>606</v>
      </c>
      <c r="Q25" s="6" t="s">
        <v>603</v>
      </c>
      <c r="R25" s="7" t="s">
        <v>677</v>
      </c>
    </row>
    <row r="26" customFormat="false" ht="15" hidden="false" customHeight="false" outlineLevel="0" collapsed="false">
      <c r="A26" s="6" t="s">
        <v>678</v>
      </c>
      <c r="B26" s="8" t="n">
        <v>44612</v>
      </c>
      <c r="C26" s="6" t="s">
        <v>61</v>
      </c>
      <c r="D26" s="6" t="s">
        <v>492</v>
      </c>
      <c r="E26" s="6" t="s">
        <v>213</v>
      </c>
      <c r="F26" s="6" t="n">
        <v>5</v>
      </c>
      <c r="G26" s="6" t="s">
        <v>63</v>
      </c>
      <c r="H26" s="6" t="s">
        <v>602</v>
      </c>
      <c r="I26" s="6" t="s">
        <v>212</v>
      </c>
      <c r="J26" s="6" t="s">
        <v>213</v>
      </c>
      <c r="K26" s="6" t="n">
        <v>3.33</v>
      </c>
      <c r="L26" s="6" t="s">
        <v>603</v>
      </c>
      <c r="M26" s="6" t="s">
        <v>609</v>
      </c>
      <c r="N26" s="6" t="s">
        <v>617</v>
      </c>
      <c r="O26" s="6" t="s">
        <v>679</v>
      </c>
      <c r="P26" s="6" t="s">
        <v>606</v>
      </c>
      <c r="Q26" s="6" t="s">
        <v>603</v>
      </c>
      <c r="R26" s="7" t="s">
        <v>680</v>
      </c>
    </row>
    <row r="27" customFormat="false" ht="15" hidden="false" customHeight="false" outlineLevel="0" collapsed="false">
      <c r="A27" s="6" t="s">
        <v>681</v>
      </c>
      <c r="B27" s="8" t="n">
        <v>44614</v>
      </c>
      <c r="C27" s="6" t="s">
        <v>58</v>
      </c>
      <c r="D27" s="6" t="s">
        <v>458</v>
      </c>
      <c r="E27" s="6" t="s">
        <v>459</v>
      </c>
      <c r="F27" s="6" t="n">
        <v>4</v>
      </c>
      <c r="G27" s="6" t="s">
        <v>50</v>
      </c>
      <c r="H27" s="6" t="s">
        <v>602</v>
      </c>
      <c r="I27" s="6" t="s">
        <v>179</v>
      </c>
      <c r="J27" s="6" t="s">
        <v>180</v>
      </c>
      <c r="K27" s="6" t="n">
        <v>4</v>
      </c>
      <c r="L27" s="6" t="s">
        <v>603</v>
      </c>
      <c r="M27" s="6" t="s">
        <v>609</v>
      </c>
      <c r="N27" s="6" t="s">
        <v>641</v>
      </c>
      <c r="O27" s="6" t="s">
        <v>661</v>
      </c>
      <c r="P27" s="6" t="s">
        <v>606</v>
      </c>
      <c r="Q27" s="6" t="s">
        <v>603</v>
      </c>
      <c r="R27" s="7" t="s">
        <v>682</v>
      </c>
    </row>
    <row r="28" customFormat="false" ht="15" hidden="false" customHeight="false" outlineLevel="0" collapsed="false">
      <c r="A28" s="6" t="s">
        <v>683</v>
      </c>
      <c r="B28" s="8" t="n">
        <v>44630</v>
      </c>
      <c r="C28" s="6" t="s">
        <v>53</v>
      </c>
      <c r="D28" s="6" t="s">
        <v>251</v>
      </c>
      <c r="E28" s="6" t="s">
        <v>252</v>
      </c>
      <c r="F28" s="6" t="n">
        <v>4</v>
      </c>
      <c r="G28" s="6" t="s">
        <v>50</v>
      </c>
      <c r="H28" s="6" t="s">
        <v>602</v>
      </c>
      <c r="I28" s="6" t="s">
        <v>81</v>
      </c>
      <c r="J28" s="6" t="s">
        <v>82</v>
      </c>
      <c r="K28" s="6" t="n">
        <v>4</v>
      </c>
      <c r="L28" s="6" t="s">
        <v>603</v>
      </c>
      <c r="M28" s="6" t="s">
        <v>609</v>
      </c>
      <c r="N28" s="6" t="s">
        <v>621</v>
      </c>
      <c r="O28" s="6" t="s">
        <v>645</v>
      </c>
      <c r="P28" s="6" t="s">
        <v>606</v>
      </c>
      <c r="Q28" s="6" t="s">
        <v>603</v>
      </c>
      <c r="R28" s="7" t="s">
        <v>684</v>
      </c>
    </row>
    <row r="29" customFormat="false" ht="15" hidden="false" customHeight="false" outlineLevel="0" collapsed="false">
      <c r="A29" s="6" t="s">
        <v>685</v>
      </c>
      <c r="B29" s="8" t="n">
        <v>44646</v>
      </c>
      <c r="C29" s="6" t="s">
        <v>57</v>
      </c>
      <c r="D29" s="6" t="s">
        <v>373</v>
      </c>
      <c r="E29" s="6" t="s">
        <v>374</v>
      </c>
      <c r="F29" s="6" t="n">
        <v>4</v>
      </c>
      <c r="G29" s="6" t="s">
        <v>50</v>
      </c>
      <c r="H29" s="6" t="s">
        <v>602</v>
      </c>
      <c r="I29" s="6" t="s">
        <v>155</v>
      </c>
      <c r="J29" s="6" t="s">
        <v>156</v>
      </c>
      <c r="K29" s="6" t="n">
        <v>4</v>
      </c>
      <c r="L29" s="6" t="s">
        <v>603</v>
      </c>
      <c r="M29" s="6" t="s">
        <v>603</v>
      </c>
      <c r="N29" s="6" t="s">
        <v>604</v>
      </c>
      <c r="O29" s="6" t="s">
        <v>656</v>
      </c>
      <c r="P29" s="6" t="s">
        <v>606</v>
      </c>
      <c r="Q29" s="6" t="s">
        <v>603</v>
      </c>
      <c r="R29" s="7" t="s">
        <v>686</v>
      </c>
    </row>
    <row r="30" customFormat="false" ht="23.85" hidden="false" customHeight="false" outlineLevel="0" collapsed="false">
      <c r="A30" s="6" t="s">
        <v>687</v>
      </c>
      <c r="B30" s="8" t="n">
        <v>44660</v>
      </c>
      <c r="C30" s="6" t="s">
        <v>57</v>
      </c>
      <c r="D30" s="6" t="s">
        <v>353</v>
      </c>
      <c r="E30" s="6" t="s">
        <v>261</v>
      </c>
      <c r="F30" s="6" t="n">
        <v>4</v>
      </c>
      <c r="G30" s="6" t="s">
        <v>50</v>
      </c>
      <c r="H30" s="6" t="s">
        <v>625</v>
      </c>
      <c r="I30" s="6" t="s">
        <v>626</v>
      </c>
      <c r="J30" s="6" t="s">
        <v>51</v>
      </c>
      <c r="K30" s="6" t="n">
        <v>4</v>
      </c>
      <c r="L30" s="6" t="s">
        <v>609</v>
      </c>
      <c r="M30" s="6" t="s">
        <v>609</v>
      </c>
      <c r="N30" s="6" t="s">
        <v>621</v>
      </c>
      <c r="O30" s="6" t="s">
        <v>622</v>
      </c>
      <c r="P30" s="6" t="s">
        <v>606</v>
      </c>
      <c r="Q30" s="6" t="s">
        <v>603</v>
      </c>
      <c r="R30" s="7" t="s">
        <v>627</v>
      </c>
    </row>
    <row r="31" customFormat="false" ht="15" hidden="false" customHeight="false" outlineLevel="0" collapsed="false">
      <c r="A31" s="6" t="s">
        <v>688</v>
      </c>
      <c r="B31" s="8" t="n">
        <v>44680</v>
      </c>
      <c r="C31" s="6" t="s">
        <v>57</v>
      </c>
      <c r="D31" s="6" t="s">
        <v>361</v>
      </c>
      <c r="E31" s="6" t="s">
        <v>362</v>
      </c>
      <c r="F31" s="6" t="n">
        <v>4</v>
      </c>
      <c r="G31" s="6" t="s">
        <v>50</v>
      </c>
      <c r="H31" s="6" t="s">
        <v>602</v>
      </c>
      <c r="I31" s="6" t="s">
        <v>130</v>
      </c>
      <c r="J31" s="6" t="s">
        <v>131</v>
      </c>
      <c r="K31" s="6" t="n">
        <v>4</v>
      </c>
      <c r="L31" s="6" t="s">
        <v>603</v>
      </c>
      <c r="M31" s="6" t="s">
        <v>603</v>
      </c>
      <c r="N31" s="6" t="s">
        <v>613</v>
      </c>
      <c r="O31" s="6" t="s">
        <v>689</v>
      </c>
      <c r="P31" s="6" t="s">
        <v>606</v>
      </c>
      <c r="Q31" s="6" t="s">
        <v>603</v>
      </c>
      <c r="R31" s="7" t="s">
        <v>690</v>
      </c>
    </row>
    <row r="32" customFormat="false" ht="15" hidden="false" customHeight="false" outlineLevel="0" collapsed="false">
      <c r="A32" s="6" t="s">
        <v>691</v>
      </c>
      <c r="B32" s="8" t="n">
        <v>44726</v>
      </c>
      <c r="C32" s="6" t="s">
        <v>57</v>
      </c>
      <c r="D32" s="6" t="s">
        <v>395</v>
      </c>
      <c r="E32" s="6" t="s">
        <v>193</v>
      </c>
      <c r="F32" s="6" t="n">
        <v>4</v>
      </c>
      <c r="G32" s="6" t="s">
        <v>50</v>
      </c>
      <c r="H32" s="6" t="s">
        <v>602</v>
      </c>
      <c r="I32" s="6" t="s">
        <v>192</v>
      </c>
      <c r="J32" s="6" t="s">
        <v>193</v>
      </c>
      <c r="K32" s="6" t="n">
        <v>4</v>
      </c>
      <c r="L32" s="6" t="s">
        <v>603</v>
      </c>
      <c r="M32" s="6" t="s">
        <v>609</v>
      </c>
      <c r="N32" s="6" t="s">
        <v>641</v>
      </c>
      <c r="O32" s="6" t="s">
        <v>661</v>
      </c>
      <c r="P32" s="6" t="s">
        <v>606</v>
      </c>
      <c r="Q32" s="6" t="s">
        <v>603</v>
      </c>
      <c r="R32" s="7" t="s">
        <v>692</v>
      </c>
    </row>
    <row r="33" customFormat="false" ht="15" hidden="false" customHeight="false" outlineLevel="0" collapsed="false">
      <c r="A33" s="6" t="s">
        <v>693</v>
      </c>
      <c r="B33" s="8" t="n">
        <v>44752</v>
      </c>
      <c r="C33" s="6" t="s">
        <v>58</v>
      </c>
      <c r="D33" s="6" t="s">
        <v>432</v>
      </c>
      <c r="E33" s="6" t="s">
        <v>218</v>
      </c>
      <c r="F33" s="6" t="n">
        <v>4</v>
      </c>
      <c r="G33" s="6" t="s">
        <v>50</v>
      </c>
      <c r="H33" s="6" t="s">
        <v>602</v>
      </c>
      <c r="I33" s="6" t="s">
        <v>217</v>
      </c>
      <c r="J33" s="6" t="s">
        <v>218</v>
      </c>
      <c r="K33" s="6" t="n">
        <v>4</v>
      </c>
      <c r="L33" s="6" t="s">
        <v>603</v>
      </c>
      <c r="M33" s="6" t="s">
        <v>609</v>
      </c>
      <c r="N33" s="6" t="s">
        <v>617</v>
      </c>
      <c r="O33" s="6" t="s">
        <v>618</v>
      </c>
      <c r="P33" s="6" t="s">
        <v>606</v>
      </c>
      <c r="Q33" s="6" t="s">
        <v>603</v>
      </c>
      <c r="R33" s="7" t="s">
        <v>694</v>
      </c>
    </row>
    <row r="34" customFormat="false" ht="23.85" hidden="false" customHeight="false" outlineLevel="0" collapsed="false">
      <c r="A34" s="6" t="s">
        <v>695</v>
      </c>
      <c r="B34" s="8" t="n">
        <v>44777</v>
      </c>
      <c r="C34" s="6" t="s">
        <v>57</v>
      </c>
      <c r="D34" s="6" t="s">
        <v>347</v>
      </c>
      <c r="E34" s="6" t="s">
        <v>348</v>
      </c>
      <c r="F34" s="6" t="n">
        <v>4</v>
      </c>
      <c r="G34" s="6" t="s">
        <v>50</v>
      </c>
      <c r="H34" s="6" t="s">
        <v>625</v>
      </c>
      <c r="I34" s="6" t="s">
        <v>626</v>
      </c>
      <c r="J34" s="6" t="s">
        <v>51</v>
      </c>
      <c r="K34" s="6" t="n">
        <v>4</v>
      </c>
      <c r="L34" s="6" t="s">
        <v>609</v>
      </c>
      <c r="M34" s="6" t="s">
        <v>609</v>
      </c>
      <c r="N34" s="6" t="s">
        <v>621</v>
      </c>
      <c r="O34" s="6" t="s">
        <v>622</v>
      </c>
      <c r="P34" s="6" t="s">
        <v>606</v>
      </c>
      <c r="Q34" s="6" t="s">
        <v>603</v>
      </c>
      <c r="R34" s="7" t="s">
        <v>696</v>
      </c>
    </row>
    <row r="35" customFormat="false" ht="15" hidden="false" customHeight="false" outlineLevel="0" collapsed="false">
      <c r="A35" s="6" t="s">
        <v>697</v>
      </c>
      <c r="B35" s="8" t="n">
        <v>44864</v>
      </c>
      <c r="C35" s="6" t="s">
        <v>53</v>
      </c>
      <c r="D35" s="6" t="s">
        <v>268</v>
      </c>
      <c r="E35" s="6" t="s">
        <v>269</v>
      </c>
      <c r="F35" s="6" t="n">
        <v>4</v>
      </c>
      <c r="G35" s="6" t="s">
        <v>50</v>
      </c>
      <c r="H35" s="6" t="s">
        <v>625</v>
      </c>
      <c r="I35" s="6" t="s">
        <v>626</v>
      </c>
      <c r="J35" s="6" t="s">
        <v>51</v>
      </c>
      <c r="K35" s="6" t="n">
        <v>4</v>
      </c>
      <c r="L35" s="6" t="s">
        <v>609</v>
      </c>
      <c r="M35" s="6" t="s">
        <v>603</v>
      </c>
      <c r="N35" s="6" t="s">
        <v>621</v>
      </c>
      <c r="O35" s="6" t="s">
        <v>622</v>
      </c>
      <c r="P35" s="6" t="s">
        <v>606</v>
      </c>
      <c r="Q35" s="6" t="s">
        <v>603</v>
      </c>
      <c r="R35" s="7" t="s">
        <v>659</v>
      </c>
    </row>
    <row r="36" customFormat="false" ht="23.85" hidden="false" customHeight="false" outlineLevel="0" collapsed="false">
      <c r="A36" s="6" t="s">
        <v>698</v>
      </c>
      <c r="B36" s="8" t="n">
        <v>44866</v>
      </c>
      <c r="C36" s="6" t="s">
        <v>57</v>
      </c>
      <c r="D36" s="6" t="s">
        <v>354</v>
      </c>
      <c r="E36" s="6" t="s">
        <v>234</v>
      </c>
      <c r="F36" s="6" t="n">
        <v>4</v>
      </c>
      <c r="G36" s="6" t="s">
        <v>50</v>
      </c>
      <c r="H36" s="6" t="s">
        <v>602</v>
      </c>
      <c r="I36" s="6" t="s">
        <v>81</v>
      </c>
      <c r="J36" s="6" t="s">
        <v>82</v>
      </c>
      <c r="K36" s="6" t="n">
        <v>4</v>
      </c>
      <c r="L36" s="6" t="s">
        <v>603</v>
      </c>
      <c r="M36" s="6" t="s">
        <v>609</v>
      </c>
      <c r="N36" s="6" t="s">
        <v>621</v>
      </c>
      <c r="O36" s="6" t="s">
        <v>622</v>
      </c>
      <c r="P36" s="6" t="s">
        <v>606</v>
      </c>
      <c r="Q36" s="6" t="s">
        <v>603</v>
      </c>
      <c r="R36" s="7" t="s">
        <v>699</v>
      </c>
    </row>
    <row r="37" customFormat="false" ht="23.85" hidden="false" customHeight="false" outlineLevel="0" collapsed="false">
      <c r="A37" s="6" t="s">
        <v>700</v>
      </c>
      <c r="B37" s="8" t="n">
        <v>44872</v>
      </c>
      <c r="C37" s="6" t="s">
        <v>57</v>
      </c>
      <c r="D37" s="6" t="s">
        <v>381</v>
      </c>
      <c r="E37" s="6" t="s">
        <v>382</v>
      </c>
      <c r="F37" s="6" t="n">
        <v>4</v>
      </c>
      <c r="G37" s="6" t="s">
        <v>50</v>
      </c>
      <c r="H37" s="6" t="s">
        <v>602</v>
      </c>
      <c r="I37" s="6" t="s">
        <v>167</v>
      </c>
      <c r="J37" s="6" t="s">
        <v>168</v>
      </c>
      <c r="K37" s="6" t="n">
        <v>4</v>
      </c>
      <c r="L37" s="6" t="s">
        <v>603</v>
      </c>
      <c r="M37" s="6" t="s">
        <v>609</v>
      </c>
      <c r="N37" s="6" t="s">
        <v>604</v>
      </c>
      <c r="O37" s="6" t="s">
        <v>610</v>
      </c>
      <c r="P37" s="6" t="s">
        <v>606</v>
      </c>
      <c r="Q37" s="6" t="s">
        <v>603</v>
      </c>
      <c r="R37" s="7" t="s">
        <v>701</v>
      </c>
    </row>
    <row r="38" customFormat="false" ht="15" hidden="false" customHeight="false" outlineLevel="0" collapsed="false">
      <c r="A38" s="6" t="s">
        <v>702</v>
      </c>
      <c r="B38" s="8" t="n">
        <v>44885</v>
      </c>
      <c r="C38" s="6" t="s">
        <v>61</v>
      </c>
      <c r="D38" s="6" t="s">
        <v>508</v>
      </c>
      <c r="E38" s="6" t="s">
        <v>358</v>
      </c>
      <c r="F38" s="6" t="n">
        <v>4</v>
      </c>
      <c r="G38" s="6" t="s">
        <v>63</v>
      </c>
      <c r="H38" s="6" t="s">
        <v>602</v>
      </c>
      <c r="I38" s="6" t="s">
        <v>122</v>
      </c>
      <c r="J38" s="6" t="s">
        <v>123</v>
      </c>
      <c r="K38" s="6" t="n">
        <v>2.66</v>
      </c>
      <c r="L38" s="6" t="s">
        <v>603</v>
      </c>
      <c r="M38" s="6" t="s">
        <v>609</v>
      </c>
      <c r="N38" s="6" t="s">
        <v>613</v>
      </c>
      <c r="O38" s="6" t="s">
        <v>667</v>
      </c>
      <c r="P38" s="6" t="s">
        <v>606</v>
      </c>
      <c r="Q38" s="6" t="s">
        <v>603</v>
      </c>
      <c r="R38" s="7" t="s">
        <v>703</v>
      </c>
    </row>
    <row r="39" customFormat="false" ht="15" hidden="false" customHeight="false" outlineLevel="0" collapsed="false">
      <c r="A39" s="6" t="s">
        <v>704</v>
      </c>
      <c r="B39" s="8" t="n">
        <v>44911</v>
      </c>
      <c r="C39" s="6" t="s">
        <v>53</v>
      </c>
      <c r="D39" s="6" t="s">
        <v>312</v>
      </c>
      <c r="E39" s="6" t="s">
        <v>313</v>
      </c>
      <c r="F39" s="6" t="n">
        <v>5</v>
      </c>
      <c r="G39" s="6" t="s">
        <v>50</v>
      </c>
      <c r="H39" s="6" t="s">
        <v>625</v>
      </c>
      <c r="I39" s="6" t="s">
        <v>705</v>
      </c>
      <c r="J39" s="6" t="s">
        <v>51</v>
      </c>
      <c r="K39" s="6" t="n">
        <v>5</v>
      </c>
      <c r="L39" s="6" t="s">
        <v>609</v>
      </c>
      <c r="M39" s="6" t="s">
        <v>609</v>
      </c>
      <c r="N39" s="6" t="s">
        <v>641</v>
      </c>
      <c r="O39" s="6" t="s">
        <v>661</v>
      </c>
      <c r="P39" s="6" t="s">
        <v>606</v>
      </c>
      <c r="Q39" s="6" t="s">
        <v>603</v>
      </c>
      <c r="R39" s="7" t="s">
        <v>659</v>
      </c>
    </row>
    <row r="40" customFormat="false" ht="23.85" hidden="false" customHeight="false" outlineLevel="0" collapsed="false">
      <c r="A40" s="6" t="s">
        <v>706</v>
      </c>
      <c r="B40" s="8" t="n">
        <v>44990</v>
      </c>
      <c r="C40" s="6" t="s">
        <v>58</v>
      </c>
      <c r="D40" s="6" t="s">
        <v>441</v>
      </c>
      <c r="E40" s="6" t="s">
        <v>442</v>
      </c>
      <c r="F40" s="6" t="n">
        <v>3</v>
      </c>
      <c r="G40" s="6" t="s">
        <v>50</v>
      </c>
      <c r="H40" s="6" t="s">
        <v>625</v>
      </c>
      <c r="I40" s="6" t="s">
        <v>674</v>
      </c>
      <c r="J40" s="6" t="s">
        <v>51</v>
      </c>
      <c r="K40" s="6" t="n">
        <v>3</v>
      </c>
      <c r="L40" s="6" t="s">
        <v>609</v>
      </c>
      <c r="M40" s="6" t="s">
        <v>609</v>
      </c>
      <c r="N40" s="6" t="s">
        <v>675</v>
      </c>
      <c r="O40" s="6" t="s">
        <v>707</v>
      </c>
      <c r="P40" s="6" t="s">
        <v>606</v>
      </c>
      <c r="Q40" s="6" t="s">
        <v>603</v>
      </c>
      <c r="R40" s="7" t="s">
        <v>708</v>
      </c>
    </row>
    <row r="41" customFormat="false" ht="15" hidden="false" customHeight="false" outlineLevel="0" collapsed="false">
      <c r="A41" s="6" t="s">
        <v>709</v>
      </c>
      <c r="B41" s="8" t="n">
        <v>44990</v>
      </c>
      <c r="C41" s="6" t="s">
        <v>58</v>
      </c>
      <c r="D41" s="6" t="s">
        <v>465</v>
      </c>
      <c r="E41" s="6" t="s">
        <v>466</v>
      </c>
      <c r="F41" s="6" t="n">
        <v>3</v>
      </c>
      <c r="G41" s="6" t="s">
        <v>50</v>
      </c>
      <c r="H41" s="6" t="s">
        <v>625</v>
      </c>
      <c r="I41" s="6" t="s">
        <v>710</v>
      </c>
      <c r="J41" s="6" t="s">
        <v>51</v>
      </c>
      <c r="K41" s="6" t="n">
        <v>3</v>
      </c>
      <c r="L41" s="6" t="s">
        <v>609</v>
      </c>
      <c r="M41" s="6" t="s">
        <v>609</v>
      </c>
      <c r="N41" s="6" t="s">
        <v>711</v>
      </c>
      <c r="O41" s="6" t="s">
        <v>712</v>
      </c>
      <c r="P41" s="6" t="s">
        <v>606</v>
      </c>
      <c r="Q41" s="6" t="s">
        <v>603</v>
      </c>
      <c r="R41" s="7" t="s">
        <v>713</v>
      </c>
    </row>
    <row r="42" customFormat="false" ht="23.85" hidden="false" customHeight="false" outlineLevel="0" collapsed="false">
      <c r="A42" s="6" t="s">
        <v>714</v>
      </c>
      <c r="B42" s="8" t="n">
        <v>45025</v>
      </c>
      <c r="C42" s="6" t="s">
        <v>53</v>
      </c>
      <c r="D42" s="6" t="s">
        <v>262</v>
      </c>
      <c r="E42" s="6" t="s">
        <v>263</v>
      </c>
      <c r="F42" s="6" t="n">
        <v>4</v>
      </c>
      <c r="G42" s="6" t="s">
        <v>50</v>
      </c>
      <c r="H42" s="6" t="s">
        <v>625</v>
      </c>
      <c r="I42" s="6" t="s">
        <v>626</v>
      </c>
      <c r="J42" s="6" t="s">
        <v>51</v>
      </c>
      <c r="K42" s="6" t="n">
        <v>4</v>
      </c>
      <c r="L42" s="6" t="s">
        <v>609</v>
      </c>
      <c r="M42" s="6" t="s">
        <v>609</v>
      </c>
      <c r="N42" s="6" t="s">
        <v>621</v>
      </c>
      <c r="O42" s="6" t="s">
        <v>645</v>
      </c>
      <c r="P42" s="6" t="s">
        <v>606</v>
      </c>
      <c r="Q42" s="6" t="s">
        <v>603</v>
      </c>
      <c r="R42" s="7" t="s">
        <v>715</v>
      </c>
    </row>
    <row r="43" customFormat="false" ht="15" hidden="false" customHeight="false" outlineLevel="0" collapsed="false">
      <c r="A43" s="6" t="s">
        <v>716</v>
      </c>
      <c r="B43" s="8" t="n">
        <v>45025</v>
      </c>
      <c r="C43" s="6" t="s">
        <v>57</v>
      </c>
      <c r="D43" s="6" t="s">
        <v>379</v>
      </c>
      <c r="E43" s="6" t="s">
        <v>380</v>
      </c>
      <c r="F43" s="6" t="n">
        <v>4</v>
      </c>
      <c r="G43" s="6" t="s">
        <v>50</v>
      </c>
      <c r="H43" s="6" t="s">
        <v>602</v>
      </c>
      <c r="I43" s="6" t="s">
        <v>159</v>
      </c>
      <c r="J43" s="6" t="s">
        <v>160</v>
      </c>
      <c r="K43" s="6" t="n">
        <v>4</v>
      </c>
      <c r="L43" s="6" t="s">
        <v>603</v>
      </c>
      <c r="M43" s="6" t="s">
        <v>603</v>
      </c>
      <c r="N43" s="6" t="s">
        <v>604</v>
      </c>
      <c r="O43" s="6" t="s">
        <v>610</v>
      </c>
      <c r="P43" s="6" t="s">
        <v>606</v>
      </c>
      <c r="Q43" s="6" t="s">
        <v>603</v>
      </c>
      <c r="R43" s="7" t="s">
        <v>717</v>
      </c>
    </row>
    <row r="44" customFormat="false" ht="15" hidden="false" customHeight="false" outlineLevel="0" collapsed="false">
      <c r="A44" s="6" t="s">
        <v>718</v>
      </c>
      <c r="B44" s="8" t="n">
        <v>45034</v>
      </c>
      <c r="C44" s="6" t="s">
        <v>57</v>
      </c>
      <c r="D44" s="6" t="s">
        <v>402</v>
      </c>
      <c r="E44" s="6" t="s">
        <v>403</v>
      </c>
      <c r="F44" s="6" t="n">
        <v>5</v>
      </c>
      <c r="G44" s="6" t="s">
        <v>50</v>
      </c>
      <c r="H44" s="6" t="s">
        <v>602</v>
      </c>
      <c r="I44" s="6" t="s">
        <v>208</v>
      </c>
      <c r="J44" s="6" t="s">
        <v>209</v>
      </c>
      <c r="K44" s="6" t="n">
        <v>5</v>
      </c>
      <c r="L44" s="6" t="s">
        <v>603</v>
      </c>
      <c r="M44" s="6" t="s">
        <v>609</v>
      </c>
      <c r="N44" s="6" t="s">
        <v>670</v>
      </c>
      <c r="O44" s="6" t="s">
        <v>671</v>
      </c>
      <c r="P44" s="6" t="s">
        <v>606</v>
      </c>
      <c r="Q44" s="6" t="s">
        <v>603</v>
      </c>
      <c r="R44" s="7" t="s">
        <v>719</v>
      </c>
    </row>
    <row r="45" customFormat="false" ht="15" hidden="false" customHeight="false" outlineLevel="0" collapsed="false">
      <c r="A45" s="6" t="s">
        <v>720</v>
      </c>
      <c r="B45" s="8" t="n">
        <v>45092</v>
      </c>
      <c r="C45" s="6" t="s">
        <v>53</v>
      </c>
      <c r="D45" s="6" t="s">
        <v>274</v>
      </c>
      <c r="E45" s="6" t="s">
        <v>275</v>
      </c>
      <c r="F45" s="6" t="n">
        <v>4</v>
      </c>
      <c r="G45" s="6" t="s">
        <v>50</v>
      </c>
      <c r="H45" s="6" t="s">
        <v>602</v>
      </c>
      <c r="I45" s="6" t="s">
        <v>122</v>
      </c>
      <c r="J45" s="6" t="s">
        <v>123</v>
      </c>
      <c r="K45" s="6" t="n">
        <v>4</v>
      </c>
      <c r="L45" s="6" t="s">
        <v>603</v>
      </c>
      <c r="M45" s="6" t="s">
        <v>609</v>
      </c>
      <c r="N45" s="6" t="s">
        <v>613</v>
      </c>
      <c r="O45" s="6" t="s">
        <v>667</v>
      </c>
      <c r="P45" s="6" t="s">
        <v>606</v>
      </c>
      <c r="Q45" s="6" t="s">
        <v>603</v>
      </c>
      <c r="R45" s="7" t="s">
        <v>721</v>
      </c>
    </row>
    <row r="46" customFormat="false" ht="15" hidden="false" customHeight="false" outlineLevel="0" collapsed="false">
      <c r="A46" s="6" t="s">
        <v>722</v>
      </c>
      <c r="B46" s="8" t="n">
        <v>45106</v>
      </c>
      <c r="C46" s="6" t="s">
        <v>53</v>
      </c>
      <c r="D46" s="6" t="s">
        <v>259</v>
      </c>
      <c r="E46" s="6" t="s">
        <v>86</v>
      </c>
      <c r="F46" s="6" t="n">
        <v>4</v>
      </c>
      <c r="G46" s="6" t="s">
        <v>50</v>
      </c>
      <c r="H46" s="6" t="s">
        <v>602</v>
      </c>
      <c r="I46" s="6" t="s">
        <v>85</v>
      </c>
      <c r="J46" s="6" t="s">
        <v>86</v>
      </c>
      <c r="K46" s="6" t="n">
        <v>4</v>
      </c>
      <c r="L46" s="6" t="s">
        <v>603</v>
      </c>
      <c r="M46" s="6" t="s">
        <v>609</v>
      </c>
      <c r="N46" s="6" t="s">
        <v>621</v>
      </c>
      <c r="O46" s="6" t="s">
        <v>622</v>
      </c>
      <c r="P46" s="6" t="s">
        <v>606</v>
      </c>
      <c r="Q46" s="6" t="s">
        <v>603</v>
      </c>
      <c r="R46" s="7" t="s">
        <v>723</v>
      </c>
    </row>
    <row r="47" customFormat="false" ht="15" hidden="false" customHeight="false" outlineLevel="0" collapsed="false">
      <c r="A47" s="6" t="s">
        <v>724</v>
      </c>
      <c r="B47" s="8" t="n">
        <v>45110</v>
      </c>
      <c r="C47" s="6" t="s">
        <v>53</v>
      </c>
      <c r="D47" s="6" t="s">
        <v>321</v>
      </c>
      <c r="E47" s="6" t="s">
        <v>209</v>
      </c>
      <c r="F47" s="6" t="n">
        <v>5</v>
      </c>
      <c r="G47" s="6" t="s">
        <v>50</v>
      </c>
      <c r="H47" s="6" t="s">
        <v>602</v>
      </c>
      <c r="I47" s="6" t="s">
        <v>208</v>
      </c>
      <c r="J47" s="6" t="s">
        <v>209</v>
      </c>
      <c r="K47" s="6" t="n">
        <v>5</v>
      </c>
      <c r="L47" s="6" t="s">
        <v>603</v>
      </c>
      <c r="M47" s="6" t="s">
        <v>609</v>
      </c>
      <c r="N47" s="6" t="s">
        <v>670</v>
      </c>
      <c r="O47" s="6" t="s">
        <v>671</v>
      </c>
      <c r="P47" s="6" t="s">
        <v>606</v>
      </c>
      <c r="Q47" s="6" t="s">
        <v>603</v>
      </c>
      <c r="R47" s="7" t="s">
        <v>719</v>
      </c>
    </row>
    <row r="48" customFormat="false" ht="15" hidden="false" customHeight="false" outlineLevel="0" collapsed="false">
      <c r="A48" s="6" t="s">
        <v>725</v>
      </c>
      <c r="B48" s="8" t="n">
        <v>45125</v>
      </c>
      <c r="C48" s="6" t="s">
        <v>53</v>
      </c>
      <c r="D48" s="6" t="s">
        <v>247</v>
      </c>
      <c r="E48" s="6" t="s">
        <v>248</v>
      </c>
      <c r="F48" s="6" t="n">
        <v>5</v>
      </c>
      <c r="G48" s="6" t="s">
        <v>50</v>
      </c>
      <c r="H48" s="6" t="s">
        <v>625</v>
      </c>
      <c r="I48" s="6" t="s">
        <v>626</v>
      </c>
      <c r="J48" s="6" t="s">
        <v>51</v>
      </c>
      <c r="K48" s="6" t="n">
        <v>5</v>
      </c>
      <c r="L48" s="6" t="s">
        <v>609</v>
      </c>
      <c r="M48" s="6" t="s">
        <v>603</v>
      </c>
      <c r="N48" s="6" t="s">
        <v>621</v>
      </c>
      <c r="O48" s="6" t="s">
        <v>622</v>
      </c>
      <c r="P48" s="6" t="s">
        <v>606</v>
      </c>
      <c r="Q48" s="6" t="s">
        <v>603</v>
      </c>
      <c r="R48" s="7" t="s">
        <v>659</v>
      </c>
    </row>
    <row r="49" customFormat="false" ht="15" hidden="false" customHeight="false" outlineLevel="0" collapsed="false">
      <c r="A49" s="6" t="s">
        <v>726</v>
      </c>
      <c r="B49" s="8" t="n">
        <v>45144</v>
      </c>
      <c r="C49" s="6" t="s">
        <v>53</v>
      </c>
      <c r="D49" s="6" t="s">
        <v>295</v>
      </c>
      <c r="E49" s="6" t="s">
        <v>164</v>
      </c>
      <c r="F49" s="6" t="n">
        <v>4</v>
      </c>
      <c r="G49" s="6" t="s">
        <v>50</v>
      </c>
      <c r="H49" s="6" t="s">
        <v>602</v>
      </c>
      <c r="I49" s="6" t="s">
        <v>163</v>
      </c>
      <c r="J49" s="6" t="s">
        <v>164</v>
      </c>
      <c r="K49" s="6" t="n">
        <v>4</v>
      </c>
      <c r="L49" s="6" t="s">
        <v>603</v>
      </c>
      <c r="M49" s="6" t="s">
        <v>609</v>
      </c>
      <c r="N49" s="6" t="s">
        <v>604</v>
      </c>
      <c r="O49" s="6" t="s">
        <v>605</v>
      </c>
      <c r="P49" s="6" t="s">
        <v>606</v>
      </c>
      <c r="Q49" s="6" t="s">
        <v>603</v>
      </c>
      <c r="R49" s="7" t="s">
        <v>727</v>
      </c>
    </row>
    <row r="50" customFormat="false" ht="15" hidden="false" customHeight="false" outlineLevel="0" collapsed="false">
      <c r="A50" s="6" t="s">
        <v>728</v>
      </c>
      <c r="B50" s="8" t="n">
        <v>45153</v>
      </c>
      <c r="C50" s="6" t="s">
        <v>57</v>
      </c>
      <c r="D50" s="6" t="s">
        <v>411</v>
      </c>
      <c r="E50" s="6" t="s">
        <v>412</v>
      </c>
      <c r="F50" s="6" t="n">
        <v>4</v>
      </c>
      <c r="G50" s="6" t="s">
        <v>50</v>
      </c>
      <c r="H50" s="6" t="s">
        <v>602</v>
      </c>
      <c r="I50" s="6" t="s">
        <v>237</v>
      </c>
      <c r="J50" s="6" t="s">
        <v>238</v>
      </c>
      <c r="K50" s="6" t="n">
        <v>4</v>
      </c>
      <c r="L50" s="6" t="s">
        <v>603</v>
      </c>
      <c r="M50" s="6" t="s">
        <v>609</v>
      </c>
      <c r="N50" s="6" t="s">
        <v>617</v>
      </c>
      <c r="O50" s="6" t="s">
        <v>618</v>
      </c>
      <c r="P50" s="6" t="s">
        <v>606</v>
      </c>
      <c r="Q50" s="6" t="s">
        <v>603</v>
      </c>
      <c r="R50" s="7" t="s">
        <v>729</v>
      </c>
    </row>
    <row r="51" customFormat="false" ht="15" hidden="false" customHeight="false" outlineLevel="0" collapsed="false">
      <c r="A51" s="6" t="s">
        <v>730</v>
      </c>
      <c r="B51" s="8" t="n">
        <v>45164</v>
      </c>
      <c r="C51" s="6" t="s">
        <v>53</v>
      </c>
      <c r="D51" s="6" t="s">
        <v>296</v>
      </c>
      <c r="E51" s="6" t="s">
        <v>297</v>
      </c>
      <c r="F51" s="6" t="n">
        <v>4</v>
      </c>
      <c r="G51" s="6" t="s">
        <v>50</v>
      </c>
      <c r="H51" s="6" t="s">
        <v>625</v>
      </c>
      <c r="I51" s="6" t="s">
        <v>635</v>
      </c>
      <c r="J51" s="6" t="s">
        <v>51</v>
      </c>
      <c r="K51" s="6" t="n">
        <v>4</v>
      </c>
      <c r="L51" s="6" t="s">
        <v>609</v>
      </c>
      <c r="M51" s="6" t="s">
        <v>603</v>
      </c>
      <c r="N51" s="6" t="s">
        <v>604</v>
      </c>
      <c r="O51" s="6" t="s">
        <v>656</v>
      </c>
      <c r="P51" s="6" t="s">
        <v>606</v>
      </c>
      <c r="Q51" s="6" t="s">
        <v>603</v>
      </c>
      <c r="R51" s="7" t="s">
        <v>659</v>
      </c>
    </row>
    <row r="52" customFormat="false" ht="15" hidden="false" customHeight="false" outlineLevel="0" collapsed="false">
      <c r="A52" s="6" t="s">
        <v>731</v>
      </c>
      <c r="B52" s="8" t="n">
        <v>45179</v>
      </c>
      <c r="C52" s="6" t="s">
        <v>61</v>
      </c>
      <c r="D52" s="6" t="s">
        <v>498</v>
      </c>
      <c r="E52" s="6" t="s">
        <v>407</v>
      </c>
      <c r="F52" s="6" t="n">
        <v>5</v>
      </c>
      <c r="G52" s="6" t="s">
        <v>63</v>
      </c>
      <c r="H52" s="6" t="s">
        <v>625</v>
      </c>
      <c r="I52" s="6" t="s">
        <v>658</v>
      </c>
      <c r="J52" s="6" t="s">
        <v>51</v>
      </c>
      <c r="K52" s="6" t="n">
        <v>3.33</v>
      </c>
      <c r="L52" s="6" t="s">
        <v>609</v>
      </c>
      <c r="M52" s="6" t="s">
        <v>603</v>
      </c>
      <c r="N52" s="6" t="s">
        <v>617</v>
      </c>
      <c r="O52" s="6" t="s">
        <v>618</v>
      </c>
      <c r="P52" s="6" t="s">
        <v>606</v>
      </c>
      <c r="Q52" s="6" t="s">
        <v>603</v>
      </c>
      <c r="R52" s="7" t="s">
        <v>732</v>
      </c>
    </row>
    <row r="53" customFormat="false" ht="15" hidden="false" customHeight="false" outlineLevel="0" collapsed="false">
      <c r="A53" s="6" t="s">
        <v>733</v>
      </c>
      <c r="B53" s="8" t="n">
        <v>45185</v>
      </c>
      <c r="C53" s="6" t="s">
        <v>58</v>
      </c>
      <c r="D53" s="6" t="s">
        <v>427</v>
      </c>
      <c r="E53" s="6" t="s">
        <v>428</v>
      </c>
      <c r="F53" s="6" t="n">
        <v>4</v>
      </c>
      <c r="G53" s="6" t="s">
        <v>50</v>
      </c>
      <c r="H53" s="6" t="s">
        <v>625</v>
      </c>
      <c r="I53" s="6" t="s">
        <v>658</v>
      </c>
      <c r="J53" s="6" t="s">
        <v>51</v>
      </c>
      <c r="K53" s="6" t="n">
        <v>4</v>
      </c>
      <c r="L53" s="6" t="s">
        <v>609</v>
      </c>
      <c r="M53" s="6" t="s">
        <v>609</v>
      </c>
      <c r="N53" s="6" t="s">
        <v>617</v>
      </c>
      <c r="O53" s="6" t="s">
        <v>618</v>
      </c>
      <c r="P53" s="6" t="s">
        <v>606</v>
      </c>
      <c r="Q53" s="6" t="s">
        <v>603</v>
      </c>
      <c r="R53" s="7" t="s">
        <v>734</v>
      </c>
    </row>
    <row r="54" customFormat="false" ht="23.85" hidden="false" customHeight="false" outlineLevel="0" collapsed="false">
      <c r="A54" s="6" t="s">
        <v>735</v>
      </c>
      <c r="B54" s="8" t="n">
        <v>45213</v>
      </c>
      <c r="C54" s="6" t="s">
        <v>53</v>
      </c>
      <c r="D54" s="6" t="s">
        <v>316</v>
      </c>
      <c r="E54" s="6" t="s">
        <v>317</v>
      </c>
      <c r="F54" s="6" t="n">
        <v>5</v>
      </c>
      <c r="G54" s="6" t="s">
        <v>50</v>
      </c>
      <c r="H54" s="6" t="s">
        <v>602</v>
      </c>
      <c r="I54" s="6" t="s">
        <v>196</v>
      </c>
      <c r="J54" s="6" t="s">
        <v>197</v>
      </c>
      <c r="K54" s="6" t="n">
        <v>5</v>
      </c>
      <c r="L54" s="6" t="s">
        <v>603</v>
      </c>
      <c r="M54" s="6" t="s">
        <v>603</v>
      </c>
      <c r="N54" s="6" t="s">
        <v>670</v>
      </c>
      <c r="O54" s="6" t="s">
        <v>671</v>
      </c>
      <c r="P54" s="6" t="s">
        <v>606</v>
      </c>
      <c r="Q54" s="6" t="s">
        <v>603</v>
      </c>
      <c r="R54" s="7" t="s">
        <v>736</v>
      </c>
    </row>
    <row r="55" customFormat="false" ht="15" hidden="false" customHeight="false" outlineLevel="0" collapsed="false">
      <c r="A55" s="6" t="s">
        <v>737</v>
      </c>
      <c r="B55" s="8" t="n">
        <v>45226</v>
      </c>
      <c r="C55" s="6" t="s">
        <v>57</v>
      </c>
      <c r="D55" s="6" t="s">
        <v>408</v>
      </c>
      <c r="E55" s="6" t="s">
        <v>226</v>
      </c>
      <c r="F55" s="6" t="n">
        <v>4</v>
      </c>
      <c r="G55" s="6" t="s">
        <v>50</v>
      </c>
      <c r="H55" s="6" t="s">
        <v>602</v>
      </c>
      <c r="I55" s="6" t="s">
        <v>225</v>
      </c>
      <c r="J55" s="6" t="s">
        <v>226</v>
      </c>
      <c r="K55" s="6" t="n">
        <v>4</v>
      </c>
      <c r="L55" s="6" t="s">
        <v>603</v>
      </c>
      <c r="M55" s="6" t="s">
        <v>609</v>
      </c>
      <c r="N55" s="6" t="s">
        <v>617</v>
      </c>
      <c r="O55" s="6" t="s">
        <v>618</v>
      </c>
      <c r="P55" s="6" t="s">
        <v>606</v>
      </c>
      <c r="Q55" s="6" t="s">
        <v>603</v>
      </c>
      <c r="R55" s="7" t="s">
        <v>738</v>
      </c>
    </row>
    <row r="56" customFormat="false" ht="15" hidden="false" customHeight="false" outlineLevel="0" collapsed="false">
      <c r="A56" s="6" t="s">
        <v>739</v>
      </c>
      <c r="B56" s="8" t="n">
        <v>45229</v>
      </c>
      <c r="C56" s="6" t="s">
        <v>58</v>
      </c>
      <c r="D56" s="6" t="s">
        <v>464</v>
      </c>
      <c r="E56" s="6" t="s">
        <v>399</v>
      </c>
      <c r="F56" s="6" t="n">
        <v>4</v>
      </c>
      <c r="G56" s="6" t="s">
        <v>50</v>
      </c>
      <c r="H56" s="6" t="s">
        <v>602</v>
      </c>
      <c r="I56" s="6" t="s">
        <v>200</v>
      </c>
      <c r="J56" s="6" t="s">
        <v>201</v>
      </c>
      <c r="K56" s="6" t="n">
        <v>4</v>
      </c>
      <c r="L56" s="6" t="s">
        <v>603</v>
      </c>
      <c r="M56" s="6" t="s">
        <v>609</v>
      </c>
      <c r="N56" s="6" t="s">
        <v>670</v>
      </c>
      <c r="O56" s="6" t="s">
        <v>740</v>
      </c>
      <c r="P56" s="6" t="s">
        <v>606</v>
      </c>
      <c r="Q56" s="6" t="s">
        <v>603</v>
      </c>
      <c r="R56" s="7" t="s">
        <v>741</v>
      </c>
    </row>
    <row r="57" customFormat="false" ht="15" hidden="false" customHeight="false" outlineLevel="0" collapsed="false">
      <c r="A57" s="6" t="s">
        <v>742</v>
      </c>
      <c r="B57" s="8" t="n">
        <v>45234</v>
      </c>
      <c r="C57" s="6" t="s">
        <v>61</v>
      </c>
      <c r="D57" s="6" t="s">
        <v>484</v>
      </c>
      <c r="E57" s="6" t="s">
        <v>485</v>
      </c>
      <c r="F57" s="6" t="n">
        <v>4</v>
      </c>
      <c r="G57" s="6" t="s">
        <v>63</v>
      </c>
      <c r="H57" s="6" t="s">
        <v>669</v>
      </c>
      <c r="I57" s="6" t="s">
        <v>71</v>
      </c>
      <c r="J57" s="6" t="s">
        <v>72</v>
      </c>
      <c r="K57" s="6" t="n">
        <v>2.66</v>
      </c>
      <c r="L57" s="6" t="s">
        <v>743</v>
      </c>
      <c r="M57" s="6" t="s">
        <v>603</v>
      </c>
      <c r="N57" s="6" t="s">
        <v>621</v>
      </c>
      <c r="O57" s="6" t="s">
        <v>629</v>
      </c>
      <c r="P57" s="6" t="s">
        <v>606</v>
      </c>
      <c r="Q57" s="6" t="s">
        <v>603</v>
      </c>
      <c r="R57" s="7" t="s">
        <v>744</v>
      </c>
    </row>
    <row r="58" customFormat="false" ht="15" hidden="false" customHeight="false" outlineLevel="0" collapsed="false">
      <c r="A58" s="6" t="s">
        <v>745</v>
      </c>
      <c r="B58" s="8" t="n">
        <v>45287</v>
      </c>
      <c r="C58" s="6" t="s">
        <v>57</v>
      </c>
      <c r="D58" s="6" t="s">
        <v>341</v>
      </c>
      <c r="E58" s="6" t="s">
        <v>342</v>
      </c>
      <c r="F58" s="6" t="n">
        <v>4</v>
      </c>
      <c r="G58" s="6" t="s">
        <v>50</v>
      </c>
      <c r="H58" s="6" t="s">
        <v>602</v>
      </c>
      <c r="I58" s="6" t="s">
        <v>71</v>
      </c>
      <c r="J58" s="6" t="s">
        <v>72</v>
      </c>
      <c r="K58" s="6" t="n">
        <v>4</v>
      </c>
      <c r="L58" s="6" t="s">
        <v>603</v>
      </c>
      <c r="M58" s="6" t="s">
        <v>609</v>
      </c>
      <c r="N58" s="6" t="s">
        <v>621</v>
      </c>
      <c r="O58" s="6" t="s">
        <v>622</v>
      </c>
      <c r="P58" s="6" t="s">
        <v>606</v>
      </c>
      <c r="Q58" s="6" t="s">
        <v>603</v>
      </c>
      <c r="R58" s="7" t="s">
        <v>623</v>
      </c>
    </row>
    <row r="59" customFormat="false" ht="15" hidden="false" customHeight="false" outlineLevel="0" collapsed="false">
      <c r="A59" s="6" t="s">
        <v>746</v>
      </c>
      <c r="B59" s="8" t="n">
        <v>45289</v>
      </c>
      <c r="C59" s="6" t="s">
        <v>57</v>
      </c>
      <c r="D59" s="6" t="s">
        <v>371</v>
      </c>
      <c r="E59" s="6" t="s">
        <v>372</v>
      </c>
      <c r="F59" s="6" t="n">
        <v>4</v>
      </c>
      <c r="G59" s="6" t="s">
        <v>50</v>
      </c>
      <c r="H59" s="6" t="s">
        <v>625</v>
      </c>
      <c r="I59" s="6" t="s">
        <v>635</v>
      </c>
      <c r="J59" s="6" t="s">
        <v>51</v>
      </c>
      <c r="K59" s="6" t="n">
        <v>4</v>
      </c>
      <c r="L59" s="6" t="s">
        <v>609</v>
      </c>
      <c r="M59" s="6" t="s">
        <v>609</v>
      </c>
      <c r="N59" s="6" t="s">
        <v>604</v>
      </c>
      <c r="O59" s="6" t="s">
        <v>605</v>
      </c>
      <c r="P59" s="6" t="s">
        <v>606</v>
      </c>
      <c r="Q59" s="6" t="s">
        <v>603</v>
      </c>
      <c r="R59" s="7" t="s">
        <v>659</v>
      </c>
    </row>
    <row r="60" customFormat="false" ht="15" hidden="false" customHeight="false" outlineLevel="0" collapsed="false">
      <c r="A60" s="6" t="s">
        <v>747</v>
      </c>
      <c r="B60" s="8" t="n">
        <v>45294</v>
      </c>
      <c r="C60" s="6" t="s">
        <v>53</v>
      </c>
      <c r="D60" s="6" t="s">
        <v>280</v>
      </c>
      <c r="E60" s="6" t="s">
        <v>281</v>
      </c>
      <c r="F60" s="6" t="n">
        <v>4</v>
      </c>
      <c r="G60" s="6" t="s">
        <v>50</v>
      </c>
      <c r="H60" s="6" t="s">
        <v>602</v>
      </c>
      <c r="I60" s="6" t="s">
        <v>134</v>
      </c>
      <c r="J60" s="6" t="s">
        <v>135</v>
      </c>
      <c r="K60" s="6" t="n">
        <v>4</v>
      </c>
      <c r="L60" s="6" t="s">
        <v>603</v>
      </c>
      <c r="M60" s="6" t="s">
        <v>609</v>
      </c>
      <c r="N60" s="6" t="s">
        <v>613</v>
      </c>
      <c r="O60" s="6" t="s">
        <v>689</v>
      </c>
      <c r="P60" s="6" t="s">
        <v>606</v>
      </c>
      <c r="Q60" s="6" t="s">
        <v>603</v>
      </c>
      <c r="R60" s="7" t="s">
        <v>748</v>
      </c>
    </row>
    <row r="61" customFormat="false" ht="23.85" hidden="false" customHeight="false" outlineLevel="0" collapsed="false">
      <c r="A61" s="6" t="s">
        <v>749</v>
      </c>
      <c r="B61" s="8" t="n">
        <v>45295</v>
      </c>
      <c r="C61" s="6" t="s">
        <v>53</v>
      </c>
      <c r="D61" s="6" t="s">
        <v>337</v>
      </c>
      <c r="E61" s="6" t="s">
        <v>338</v>
      </c>
      <c r="F61" s="6" t="n">
        <v>4</v>
      </c>
      <c r="G61" s="6" t="s">
        <v>50</v>
      </c>
      <c r="H61" s="6" t="s">
        <v>625</v>
      </c>
      <c r="I61" s="6" t="s">
        <v>658</v>
      </c>
      <c r="J61" s="6" t="s">
        <v>51</v>
      </c>
      <c r="K61" s="6" t="n">
        <v>4</v>
      </c>
      <c r="L61" s="6" t="s">
        <v>609</v>
      </c>
      <c r="M61" s="6" t="s">
        <v>603</v>
      </c>
      <c r="N61" s="6" t="s">
        <v>617</v>
      </c>
      <c r="O61" s="6" t="s">
        <v>618</v>
      </c>
      <c r="P61" s="6" t="s">
        <v>606</v>
      </c>
      <c r="Q61" s="6" t="s">
        <v>603</v>
      </c>
      <c r="R61" s="7" t="s">
        <v>750</v>
      </c>
    </row>
    <row r="62" customFormat="false" ht="15" hidden="false" customHeight="false" outlineLevel="0" collapsed="false">
      <c r="A62" s="6" t="s">
        <v>751</v>
      </c>
      <c r="B62" s="8" t="n">
        <v>45296</v>
      </c>
      <c r="C62" s="6" t="s">
        <v>57</v>
      </c>
      <c r="D62" s="6" t="s">
        <v>398</v>
      </c>
      <c r="E62" s="6" t="s">
        <v>399</v>
      </c>
      <c r="F62" s="6" t="n">
        <v>5</v>
      </c>
      <c r="G62" s="6" t="s">
        <v>50</v>
      </c>
      <c r="H62" s="6" t="s">
        <v>602</v>
      </c>
      <c r="I62" s="6" t="s">
        <v>200</v>
      </c>
      <c r="J62" s="6" t="s">
        <v>201</v>
      </c>
      <c r="K62" s="6" t="n">
        <v>5</v>
      </c>
      <c r="L62" s="6" t="s">
        <v>603</v>
      </c>
      <c r="M62" s="6" t="s">
        <v>603</v>
      </c>
      <c r="N62" s="6" t="s">
        <v>670</v>
      </c>
      <c r="O62" s="6" t="s">
        <v>740</v>
      </c>
      <c r="P62" s="6" t="s">
        <v>606</v>
      </c>
      <c r="Q62" s="6" t="s">
        <v>603</v>
      </c>
      <c r="R62" s="7" t="s">
        <v>752</v>
      </c>
    </row>
    <row r="63" customFormat="false" ht="15" hidden="false" customHeight="false" outlineLevel="0" collapsed="false">
      <c r="A63" s="6" t="s">
        <v>753</v>
      </c>
      <c r="B63" s="8" t="n">
        <v>45297</v>
      </c>
      <c r="C63" s="6" t="s">
        <v>61</v>
      </c>
      <c r="D63" s="6" t="s">
        <v>511</v>
      </c>
      <c r="E63" s="6" t="s">
        <v>512</v>
      </c>
      <c r="F63" s="6" t="n">
        <v>5</v>
      </c>
      <c r="G63" s="6" t="s">
        <v>63</v>
      </c>
      <c r="H63" s="6" t="s">
        <v>602</v>
      </c>
      <c r="I63" s="6" t="s">
        <v>179</v>
      </c>
      <c r="J63" s="6" t="s">
        <v>180</v>
      </c>
      <c r="K63" s="6" t="n">
        <v>3.33</v>
      </c>
      <c r="L63" s="6" t="s">
        <v>603</v>
      </c>
      <c r="M63" s="6" t="s">
        <v>609</v>
      </c>
      <c r="N63" s="6" t="s">
        <v>641</v>
      </c>
      <c r="O63" s="6" t="s">
        <v>754</v>
      </c>
      <c r="P63" s="6" t="s">
        <v>606</v>
      </c>
      <c r="Q63" s="6" t="s">
        <v>603</v>
      </c>
      <c r="R63" s="7" t="s">
        <v>755</v>
      </c>
    </row>
    <row r="64" customFormat="false" ht="15" hidden="false" customHeight="false" outlineLevel="0" collapsed="false">
      <c r="A64" s="6" t="s">
        <v>756</v>
      </c>
      <c r="B64" s="8" t="n">
        <v>45303</v>
      </c>
      <c r="C64" s="6" t="s">
        <v>57</v>
      </c>
      <c r="D64" s="6" t="s">
        <v>363</v>
      </c>
      <c r="E64" s="6" t="s">
        <v>364</v>
      </c>
      <c r="F64" s="6" t="n">
        <v>4</v>
      </c>
      <c r="G64" s="6" t="s">
        <v>50</v>
      </c>
      <c r="H64" s="6" t="s">
        <v>602</v>
      </c>
      <c r="I64" s="6" t="s">
        <v>134</v>
      </c>
      <c r="J64" s="6" t="s">
        <v>135</v>
      </c>
      <c r="K64" s="6" t="n">
        <v>4</v>
      </c>
      <c r="L64" s="6" t="s">
        <v>603</v>
      </c>
      <c r="M64" s="6" t="s">
        <v>603</v>
      </c>
      <c r="N64" s="6" t="s">
        <v>613</v>
      </c>
      <c r="O64" s="6" t="s">
        <v>689</v>
      </c>
      <c r="P64" s="6" t="s">
        <v>606</v>
      </c>
      <c r="Q64" s="6" t="s">
        <v>603</v>
      </c>
      <c r="R64" s="7" t="s">
        <v>748</v>
      </c>
    </row>
    <row r="65" customFormat="false" ht="23.85" hidden="false" customHeight="false" outlineLevel="0" collapsed="false">
      <c r="A65" s="6" t="s">
        <v>757</v>
      </c>
      <c r="B65" s="8" t="n">
        <v>45304</v>
      </c>
      <c r="C65" s="6" t="s">
        <v>53</v>
      </c>
      <c r="D65" s="6" t="s">
        <v>308</v>
      </c>
      <c r="E65" s="6" t="s">
        <v>309</v>
      </c>
      <c r="F65" s="6" t="n">
        <v>5</v>
      </c>
      <c r="G65" s="6" t="s">
        <v>50</v>
      </c>
      <c r="H65" s="6" t="s">
        <v>602</v>
      </c>
      <c r="I65" s="6" t="s">
        <v>192</v>
      </c>
      <c r="J65" s="6" t="s">
        <v>193</v>
      </c>
      <c r="K65" s="6" t="n">
        <v>5</v>
      </c>
      <c r="L65" s="6" t="s">
        <v>603</v>
      </c>
      <c r="M65" s="6" t="s">
        <v>603</v>
      </c>
      <c r="N65" s="6" t="s">
        <v>641</v>
      </c>
      <c r="O65" s="6" t="s">
        <v>642</v>
      </c>
      <c r="P65" s="6" t="s">
        <v>606</v>
      </c>
      <c r="Q65" s="6" t="s">
        <v>603</v>
      </c>
      <c r="R65" s="7" t="s">
        <v>758</v>
      </c>
    </row>
    <row r="66" customFormat="false" ht="15" hidden="false" customHeight="false" outlineLevel="0" collapsed="false">
      <c r="A66" s="6" t="s">
        <v>759</v>
      </c>
      <c r="B66" s="8" t="n">
        <v>45349</v>
      </c>
      <c r="C66" s="6" t="s">
        <v>53</v>
      </c>
      <c r="D66" s="6" t="s">
        <v>300</v>
      </c>
      <c r="E66" s="6" t="s">
        <v>301</v>
      </c>
      <c r="F66" s="6" t="n">
        <v>5</v>
      </c>
      <c r="G66" s="6" t="s">
        <v>50</v>
      </c>
      <c r="H66" s="6" t="s">
        <v>602</v>
      </c>
      <c r="I66" s="6" t="s">
        <v>179</v>
      </c>
      <c r="J66" s="6" t="s">
        <v>180</v>
      </c>
      <c r="K66" s="6" t="n">
        <v>5</v>
      </c>
      <c r="L66" s="6" t="s">
        <v>603</v>
      </c>
      <c r="M66" s="6" t="s">
        <v>609</v>
      </c>
      <c r="N66" s="6" t="s">
        <v>641</v>
      </c>
      <c r="O66" s="6" t="s">
        <v>754</v>
      </c>
      <c r="P66" s="6" t="s">
        <v>606</v>
      </c>
      <c r="Q66" s="6" t="s">
        <v>603</v>
      </c>
      <c r="R66" s="7" t="s">
        <v>643</v>
      </c>
    </row>
    <row r="67" customFormat="false" ht="23.85" hidden="false" customHeight="false" outlineLevel="0" collapsed="false">
      <c r="A67" s="6" t="s">
        <v>760</v>
      </c>
      <c r="B67" s="8" t="n">
        <v>45351</v>
      </c>
      <c r="C67" s="6" t="s">
        <v>61</v>
      </c>
      <c r="D67" s="6" t="s">
        <v>480</v>
      </c>
      <c r="E67" s="6" t="s">
        <v>481</v>
      </c>
      <c r="F67" s="6" t="n">
        <v>4</v>
      </c>
      <c r="G67" s="6" t="s">
        <v>63</v>
      </c>
      <c r="H67" s="6" t="s">
        <v>669</v>
      </c>
      <c r="I67" s="6" t="s">
        <v>71</v>
      </c>
      <c r="J67" s="6" t="s">
        <v>72</v>
      </c>
      <c r="K67" s="6" t="n">
        <v>2.66</v>
      </c>
      <c r="L67" s="6" t="s">
        <v>761</v>
      </c>
      <c r="M67" s="6" t="s">
        <v>603</v>
      </c>
      <c r="N67" s="6" t="s">
        <v>621</v>
      </c>
      <c r="O67" s="6" t="s">
        <v>622</v>
      </c>
      <c r="P67" s="6" t="s">
        <v>606</v>
      </c>
      <c r="Q67" s="6" t="s">
        <v>603</v>
      </c>
      <c r="R67" s="7" t="s">
        <v>762</v>
      </c>
    </row>
    <row r="68" customFormat="false" ht="15" hidden="false" customHeight="false" outlineLevel="0" collapsed="false">
      <c r="A68" s="6" t="s">
        <v>763</v>
      </c>
      <c r="B68" s="8" t="n">
        <v>45379</v>
      </c>
      <c r="C68" s="6" t="s">
        <v>61</v>
      </c>
      <c r="D68" s="6" t="s">
        <v>513</v>
      </c>
      <c r="E68" s="6" t="s">
        <v>397</v>
      </c>
      <c r="F68" s="6" t="n">
        <v>5</v>
      </c>
      <c r="G68" s="6" t="s">
        <v>63</v>
      </c>
      <c r="H68" s="6" t="s">
        <v>602</v>
      </c>
      <c r="I68" s="6" t="s">
        <v>196</v>
      </c>
      <c r="J68" s="6" t="s">
        <v>197</v>
      </c>
      <c r="K68" s="6" t="n">
        <v>3.33</v>
      </c>
      <c r="L68" s="6" t="s">
        <v>603</v>
      </c>
      <c r="M68" s="6" t="s">
        <v>609</v>
      </c>
      <c r="N68" s="6" t="s">
        <v>670</v>
      </c>
      <c r="O68" s="6" t="s">
        <v>764</v>
      </c>
      <c r="P68" s="6" t="s">
        <v>606</v>
      </c>
      <c r="Q68" s="6" t="s">
        <v>603</v>
      </c>
      <c r="R68" s="7" t="s">
        <v>765</v>
      </c>
    </row>
    <row r="69" customFormat="false" ht="23.85" hidden="false" customHeight="false" outlineLevel="0" collapsed="false">
      <c r="A69" s="6" t="s">
        <v>766</v>
      </c>
      <c r="B69" s="8" t="n">
        <v>45411</v>
      </c>
      <c r="C69" s="6" t="s">
        <v>53</v>
      </c>
      <c r="D69" s="6" t="s">
        <v>288</v>
      </c>
      <c r="E69" s="6" t="s">
        <v>289</v>
      </c>
      <c r="F69" s="6" t="n">
        <v>4</v>
      </c>
      <c r="G69" s="6" t="s">
        <v>50</v>
      </c>
      <c r="H69" s="6" t="s">
        <v>625</v>
      </c>
      <c r="I69" s="6" t="s">
        <v>635</v>
      </c>
      <c r="J69" s="6" t="s">
        <v>51</v>
      </c>
      <c r="K69" s="6" t="n">
        <v>4</v>
      </c>
      <c r="L69" s="6" t="s">
        <v>609</v>
      </c>
      <c r="M69" s="6" t="s">
        <v>603</v>
      </c>
      <c r="N69" s="6" t="s">
        <v>604</v>
      </c>
      <c r="O69" s="6" t="s">
        <v>656</v>
      </c>
      <c r="P69" s="6" t="s">
        <v>606</v>
      </c>
      <c r="Q69" s="6" t="s">
        <v>603</v>
      </c>
      <c r="R69" s="7" t="s">
        <v>767</v>
      </c>
    </row>
    <row r="70" customFormat="false" ht="23.85" hidden="false" customHeight="false" outlineLevel="0" collapsed="false">
      <c r="A70" s="6" t="s">
        <v>768</v>
      </c>
      <c r="B70" s="8" t="n">
        <v>45499</v>
      </c>
      <c r="C70" s="6" t="s">
        <v>53</v>
      </c>
      <c r="D70" s="6" t="s">
        <v>328</v>
      </c>
      <c r="E70" s="6" t="s">
        <v>226</v>
      </c>
      <c r="F70" s="6" t="n">
        <v>4</v>
      </c>
      <c r="G70" s="6" t="s">
        <v>50</v>
      </c>
      <c r="H70" s="6" t="s">
        <v>602</v>
      </c>
      <c r="I70" s="6" t="s">
        <v>225</v>
      </c>
      <c r="J70" s="6" t="s">
        <v>226</v>
      </c>
      <c r="K70" s="6" t="n">
        <v>4</v>
      </c>
      <c r="L70" s="6" t="s">
        <v>603</v>
      </c>
      <c r="M70" s="6" t="s">
        <v>609</v>
      </c>
      <c r="N70" s="6" t="s">
        <v>617</v>
      </c>
      <c r="O70" s="6" t="s">
        <v>618</v>
      </c>
      <c r="P70" s="6" t="s">
        <v>606</v>
      </c>
      <c r="Q70" s="6" t="s">
        <v>603</v>
      </c>
      <c r="R70" s="7" t="s">
        <v>769</v>
      </c>
    </row>
    <row r="71" customFormat="false" ht="15" hidden="false" customHeight="false" outlineLevel="0" collapsed="false">
      <c r="A71" s="6" t="s">
        <v>770</v>
      </c>
      <c r="B71" s="8" t="n">
        <v>45503</v>
      </c>
      <c r="C71" s="6" t="s">
        <v>53</v>
      </c>
      <c r="D71" s="6" t="s">
        <v>324</v>
      </c>
      <c r="E71" s="6" t="s">
        <v>325</v>
      </c>
      <c r="F71" s="6" t="n">
        <v>4</v>
      </c>
      <c r="G71" s="6" t="s">
        <v>50</v>
      </c>
      <c r="H71" s="6" t="s">
        <v>602</v>
      </c>
      <c r="I71" s="6" t="s">
        <v>217</v>
      </c>
      <c r="J71" s="6" t="s">
        <v>218</v>
      </c>
      <c r="K71" s="6" t="n">
        <v>4</v>
      </c>
      <c r="L71" s="6" t="s">
        <v>603</v>
      </c>
      <c r="M71" s="6" t="s">
        <v>609</v>
      </c>
      <c r="N71" s="6" t="s">
        <v>617</v>
      </c>
      <c r="O71" s="6" t="s">
        <v>618</v>
      </c>
      <c r="P71" s="6" t="s">
        <v>606</v>
      </c>
      <c r="Q71" s="6" t="s">
        <v>603</v>
      </c>
      <c r="R71" s="7" t="s">
        <v>771</v>
      </c>
    </row>
    <row r="72" customFormat="false" ht="15" hidden="false" customHeight="false" outlineLevel="0" collapsed="false">
      <c r="A72" s="6" t="s">
        <v>772</v>
      </c>
      <c r="B72" s="8" t="n">
        <v>45564</v>
      </c>
      <c r="C72" s="6" t="s">
        <v>58</v>
      </c>
      <c r="D72" s="6" t="s">
        <v>423</v>
      </c>
      <c r="E72" s="6" t="s">
        <v>424</v>
      </c>
      <c r="F72" s="6" t="n">
        <v>3</v>
      </c>
      <c r="G72" s="6" t="s">
        <v>50</v>
      </c>
      <c r="H72" s="6" t="s">
        <v>575</v>
      </c>
      <c r="I72" s="6" t="s">
        <v>51</v>
      </c>
      <c r="J72" s="6" t="s">
        <v>51</v>
      </c>
      <c r="K72" s="6" t="n">
        <v>0</v>
      </c>
      <c r="L72" s="6" t="s">
        <v>609</v>
      </c>
      <c r="M72" s="6" t="s">
        <v>609</v>
      </c>
      <c r="N72" s="6" t="s">
        <v>617</v>
      </c>
      <c r="O72" s="6" t="s">
        <v>618</v>
      </c>
      <c r="P72" s="6" t="s">
        <v>606</v>
      </c>
      <c r="Q72" s="6" t="s">
        <v>603</v>
      </c>
      <c r="R72" s="7" t="s">
        <v>773</v>
      </c>
    </row>
    <row r="73" customFormat="false" ht="15" hidden="false" customHeight="false" outlineLevel="0" collapsed="false">
      <c r="A73" s="6" t="s">
        <v>774</v>
      </c>
      <c r="B73" s="8" t="n">
        <v>45595</v>
      </c>
      <c r="C73" s="6" t="s">
        <v>57</v>
      </c>
      <c r="D73" s="6" t="s">
        <v>409</v>
      </c>
      <c r="E73" s="6" t="s">
        <v>410</v>
      </c>
      <c r="F73" s="6" t="n">
        <v>4</v>
      </c>
      <c r="G73" s="6" t="s">
        <v>50</v>
      </c>
      <c r="H73" s="6" t="s">
        <v>602</v>
      </c>
      <c r="I73" s="6" t="s">
        <v>229</v>
      </c>
      <c r="J73" s="6" t="s">
        <v>230</v>
      </c>
      <c r="K73" s="6" t="n">
        <v>4</v>
      </c>
      <c r="L73" s="6" t="s">
        <v>603</v>
      </c>
      <c r="M73" s="6" t="s">
        <v>609</v>
      </c>
      <c r="N73" s="6" t="s">
        <v>617</v>
      </c>
      <c r="O73" s="6" t="s">
        <v>618</v>
      </c>
      <c r="P73" s="6" t="s">
        <v>606</v>
      </c>
      <c r="Q73" s="6" t="s">
        <v>603</v>
      </c>
      <c r="R73" s="7" t="s">
        <v>775</v>
      </c>
    </row>
    <row r="74" customFormat="false" ht="15" hidden="false" customHeight="false" outlineLevel="0" collapsed="false">
      <c r="A74" s="6" t="s">
        <v>776</v>
      </c>
      <c r="B74" s="8" t="n">
        <v>45600</v>
      </c>
      <c r="C74" s="6" t="s">
        <v>58</v>
      </c>
      <c r="D74" s="6" t="s">
        <v>462</v>
      </c>
      <c r="E74" s="6" t="s">
        <v>397</v>
      </c>
      <c r="F74" s="6" t="n">
        <v>4</v>
      </c>
      <c r="G74" s="6" t="s">
        <v>50</v>
      </c>
      <c r="H74" s="6" t="s">
        <v>602</v>
      </c>
      <c r="I74" s="6" t="s">
        <v>196</v>
      </c>
      <c r="J74" s="6" t="s">
        <v>197</v>
      </c>
      <c r="K74" s="6" t="n">
        <v>4</v>
      </c>
      <c r="L74" s="6" t="s">
        <v>603</v>
      </c>
      <c r="M74" s="6" t="s">
        <v>609</v>
      </c>
      <c r="N74" s="6" t="s">
        <v>670</v>
      </c>
      <c r="O74" s="6" t="s">
        <v>671</v>
      </c>
      <c r="P74" s="6" t="s">
        <v>606</v>
      </c>
      <c r="Q74" s="6" t="s">
        <v>603</v>
      </c>
      <c r="R74" s="7" t="s">
        <v>777</v>
      </c>
    </row>
    <row r="75" customFormat="false" ht="15" hidden="false" customHeight="false" outlineLevel="0" collapsed="false">
      <c r="A75" s="6" t="s">
        <v>778</v>
      </c>
      <c r="B75" s="8" t="n">
        <v>45604</v>
      </c>
      <c r="C75" s="6" t="s">
        <v>53</v>
      </c>
      <c r="D75" s="6" t="s">
        <v>272</v>
      </c>
      <c r="E75" s="6" t="s">
        <v>273</v>
      </c>
      <c r="F75" s="6" t="n">
        <v>4</v>
      </c>
      <c r="G75" s="6" t="s">
        <v>50</v>
      </c>
      <c r="H75" s="6" t="s">
        <v>602</v>
      </c>
      <c r="I75" s="6" t="s">
        <v>117</v>
      </c>
      <c r="J75" s="6" t="s">
        <v>118</v>
      </c>
      <c r="K75" s="6" t="n">
        <v>4</v>
      </c>
      <c r="L75" s="6" t="s">
        <v>603</v>
      </c>
      <c r="M75" s="6" t="s">
        <v>603</v>
      </c>
      <c r="N75" s="6" t="s">
        <v>613</v>
      </c>
      <c r="O75" s="6" t="s">
        <v>614</v>
      </c>
      <c r="P75" s="6" t="s">
        <v>606</v>
      </c>
      <c r="Q75" s="6" t="s">
        <v>603</v>
      </c>
      <c r="R75" s="7" t="s">
        <v>650</v>
      </c>
    </row>
    <row r="76" customFormat="false" ht="23.85" hidden="false" customHeight="false" outlineLevel="0" collapsed="false">
      <c r="A76" s="6" t="s">
        <v>779</v>
      </c>
      <c r="B76" s="8" t="n">
        <v>45604</v>
      </c>
      <c r="C76" s="6" t="s">
        <v>57</v>
      </c>
      <c r="D76" s="6" t="s">
        <v>365</v>
      </c>
      <c r="E76" s="6" t="s">
        <v>366</v>
      </c>
      <c r="F76" s="6" t="n">
        <v>4</v>
      </c>
      <c r="G76" s="6" t="s">
        <v>50</v>
      </c>
      <c r="H76" s="6" t="s">
        <v>602</v>
      </c>
      <c r="I76" s="6" t="s">
        <v>138</v>
      </c>
      <c r="J76" s="6" t="s">
        <v>139</v>
      </c>
      <c r="K76" s="6" t="n">
        <v>4</v>
      </c>
      <c r="L76" s="6" t="s">
        <v>603</v>
      </c>
      <c r="M76" s="6" t="s">
        <v>603</v>
      </c>
      <c r="N76" s="6" t="s">
        <v>613</v>
      </c>
      <c r="O76" s="6" t="s">
        <v>689</v>
      </c>
      <c r="P76" s="6" t="s">
        <v>606</v>
      </c>
      <c r="Q76" s="6" t="s">
        <v>603</v>
      </c>
      <c r="R76" s="7" t="s">
        <v>780</v>
      </c>
    </row>
    <row r="77" customFormat="false" ht="15" hidden="false" customHeight="false" outlineLevel="0" collapsed="false">
      <c r="A77" s="6" t="s">
        <v>781</v>
      </c>
      <c r="B77" s="8" t="n">
        <v>45666</v>
      </c>
      <c r="C77" s="6" t="s">
        <v>53</v>
      </c>
      <c r="D77" s="6" t="s">
        <v>304</v>
      </c>
      <c r="E77" s="6" t="s">
        <v>305</v>
      </c>
      <c r="F77" s="6" t="n">
        <v>4</v>
      </c>
      <c r="G77" s="6" t="s">
        <v>50</v>
      </c>
      <c r="H77" s="6" t="s">
        <v>625</v>
      </c>
      <c r="I77" s="6" t="s">
        <v>705</v>
      </c>
      <c r="J77" s="6" t="s">
        <v>51</v>
      </c>
      <c r="K77" s="6" t="n">
        <v>4</v>
      </c>
      <c r="L77" s="6" t="s">
        <v>609</v>
      </c>
      <c r="M77" s="6" t="s">
        <v>609</v>
      </c>
      <c r="N77" s="6" t="s">
        <v>641</v>
      </c>
      <c r="O77" s="6" t="s">
        <v>754</v>
      </c>
      <c r="P77" s="6" t="s">
        <v>606</v>
      </c>
      <c r="Q77" s="6" t="s">
        <v>603</v>
      </c>
      <c r="R77" s="7" t="s">
        <v>659</v>
      </c>
    </row>
    <row r="78" customFormat="false" ht="15" hidden="false" customHeight="false" outlineLevel="0" collapsed="false">
      <c r="A78" s="6" t="s">
        <v>782</v>
      </c>
      <c r="B78" s="8" t="n">
        <v>45681</v>
      </c>
      <c r="C78" s="6" t="s">
        <v>53</v>
      </c>
      <c r="D78" s="6" t="s">
        <v>278</v>
      </c>
      <c r="E78" s="6" t="s">
        <v>279</v>
      </c>
      <c r="F78" s="6" t="n">
        <v>4</v>
      </c>
      <c r="G78" s="6" t="s">
        <v>50</v>
      </c>
      <c r="H78" s="6" t="s">
        <v>602</v>
      </c>
      <c r="I78" s="6" t="s">
        <v>130</v>
      </c>
      <c r="J78" s="6" t="s">
        <v>131</v>
      </c>
      <c r="K78" s="6" t="n">
        <v>4</v>
      </c>
      <c r="L78" s="6" t="s">
        <v>603</v>
      </c>
      <c r="M78" s="6" t="s">
        <v>609</v>
      </c>
      <c r="N78" s="6" t="s">
        <v>613</v>
      </c>
      <c r="O78" s="6" t="s">
        <v>667</v>
      </c>
      <c r="P78" s="6" t="s">
        <v>606</v>
      </c>
      <c r="Q78" s="6" t="s">
        <v>603</v>
      </c>
      <c r="R78" s="7" t="s">
        <v>690</v>
      </c>
    </row>
    <row r="79" customFormat="false" ht="15" hidden="false" customHeight="false" outlineLevel="0" collapsed="false">
      <c r="A79" s="6" t="s">
        <v>783</v>
      </c>
      <c r="B79" s="8" t="n">
        <v>45692</v>
      </c>
      <c r="C79" s="6" t="s">
        <v>53</v>
      </c>
      <c r="D79" s="6" t="s">
        <v>292</v>
      </c>
      <c r="E79" s="6" t="s">
        <v>293</v>
      </c>
      <c r="F79" s="6" t="n">
        <v>4</v>
      </c>
      <c r="G79" s="6" t="s">
        <v>50</v>
      </c>
      <c r="H79" s="6" t="s">
        <v>602</v>
      </c>
      <c r="I79" s="6" t="s">
        <v>151</v>
      </c>
      <c r="J79" s="6" t="s">
        <v>152</v>
      </c>
      <c r="K79" s="6" t="n">
        <v>4</v>
      </c>
      <c r="L79" s="6" t="s">
        <v>603</v>
      </c>
      <c r="M79" s="6" t="s">
        <v>603</v>
      </c>
      <c r="N79" s="6" t="s">
        <v>604</v>
      </c>
      <c r="O79" s="6" t="s">
        <v>605</v>
      </c>
      <c r="P79" s="6" t="s">
        <v>606</v>
      </c>
      <c r="Q79" s="6" t="s">
        <v>603</v>
      </c>
      <c r="R79" s="7" t="s">
        <v>784</v>
      </c>
    </row>
    <row r="80" customFormat="false" ht="15" hidden="false" customHeight="false" outlineLevel="0" collapsed="false">
      <c r="A80" s="6" t="s">
        <v>785</v>
      </c>
      <c r="B80" s="8" t="n">
        <v>45693</v>
      </c>
      <c r="C80" s="6" t="s">
        <v>57</v>
      </c>
      <c r="D80" s="6" t="s">
        <v>345</v>
      </c>
      <c r="E80" s="6" t="s">
        <v>346</v>
      </c>
      <c r="F80" s="6" t="n">
        <v>4</v>
      </c>
      <c r="G80" s="6" t="s">
        <v>50</v>
      </c>
      <c r="H80" s="6" t="s">
        <v>602</v>
      </c>
      <c r="I80" s="6" t="s">
        <v>85</v>
      </c>
      <c r="J80" s="6" t="s">
        <v>86</v>
      </c>
      <c r="K80" s="6" t="n">
        <v>4</v>
      </c>
      <c r="L80" s="6" t="s">
        <v>603</v>
      </c>
      <c r="M80" s="6" t="s">
        <v>603</v>
      </c>
      <c r="N80" s="6" t="s">
        <v>621</v>
      </c>
      <c r="O80" s="6" t="s">
        <v>629</v>
      </c>
      <c r="P80" s="6" t="s">
        <v>606</v>
      </c>
      <c r="Q80" s="6" t="s">
        <v>603</v>
      </c>
      <c r="R80" s="7" t="s">
        <v>723</v>
      </c>
    </row>
    <row r="81" customFormat="false" ht="15" hidden="false" customHeight="false" outlineLevel="0" collapsed="false">
      <c r="A81" s="6" t="s">
        <v>786</v>
      </c>
      <c r="B81" s="8" t="n">
        <v>45697</v>
      </c>
      <c r="C81" s="6" t="s">
        <v>57</v>
      </c>
      <c r="D81" s="6" t="s">
        <v>385</v>
      </c>
      <c r="E81" s="6" t="s">
        <v>386</v>
      </c>
      <c r="F81" s="6" t="n">
        <v>4</v>
      </c>
      <c r="G81" s="6" t="s">
        <v>50</v>
      </c>
      <c r="H81" s="6" t="s">
        <v>602</v>
      </c>
      <c r="I81" s="6" t="s">
        <v>175</v>
      </c>
      <c r="J81" s="6" t="s">
        <v>176</v>
      </c>
      <c r="K81" s="6" t="n">
        <v>4</v>
      </c>
      <c r="L81" s="6" t="s">
        <v>603</v>
      </c>
      <c r="M81" s="6" t="s">
        <v>609</v>
      </c>
      <c r="N81" s="6" t="s">
        <v>604</v>
      </c>
      <c r="O81" s="6" t="s">
        <v>656</v>
      </c>
      <c r="P81" s="6" t="s">
        <v>606</v>
      </c>
      <c r="Q81" s="6" t="s">
        <v>603</v>
      </c>
      <c r="R81" s="7" t="s">
        <v>787</v>
      </c>
    </row>
    <row r="82" customFormat="false" ht="15" hidden="false" customHeight="false" outlineLevel="0" collapsed="false">
      <c r="A82" s="6" t="s">
        <v>788</v>
      </c>
      <c r="B82" s="8" t="n">
        <v>45705</v>
      </c>
      <c r="C82" s="6" t="s">
        <v>53</v>
      </c>
      <c r="D82" s="6" t="s">
        <v>302</v>
      </c>
      <c r="E82" s="6" t="s">
        <v>303</v>
      </c>
      <c r="F82" s="6" t="n">
        <v>4</v>
      </c>
      <c r="G82" s="6" t="s">
        <v>50</v>
      </c>
      <c r="H82" s="6" t="s">
        <v>602</v>
      </c>
      <c r="I82" s="6" t="s">
        <v>184</v>
      </c>
      <c r="J82" s="6" t="s">
        <v>185</v>
      </c>
      <c r="K82" s="6" t="n">
        <v>4</v>
      </c>
      <c r="L82" s="6" t="s">
        <v>603</v>
      </c>
      <c r="M82" s="6" t="s">
        <v>609</v>
      </c>
      <c r="N82" s="6" t="s">
        <v>641</v>
      </c>
      <c r="O82" s="6" t="s">
        <v>661</v>
      </c>
      <c r="P82" s="6" t="s">
        <v>606</v>
      </c>
      <c r="Q82" s="6" t="s">
        <v>603</v>
      </c>
      <c r="R82" s="7" t="s">
        <v>662</v>
      </c>
    </row>
    <row r="83" customFormat="false" ht="15" hidden="false" customHeight="false" outlineLevel="0" collapsed="false">
      <c r="A83" s="6" t="s">
        <v>789</v>
      </c>
      <c r="B83" s="8" t="n">
        <v>45740</v>
      </c>
      <c r="C83" s="6" t="s">
        <v>57</v>
      </c>
      <c r="D83" s="6" t="s">
        <v>405</v>
      </c>
      <c r="E83" s="6" t="s">
        <v>218</v>
      </c>
      <c r="F83" s="6" t="n">
        <v>4</v>
      </c>
      <c r="G83" s="6" t="s">
        <v>50</v>
      </c>
      <c r="H83" s="6" t="s">
        <v>602</v>
      </c>
      <c r="I83" s="6" t="s">
        <v>217</v>
      </c>
      <c r="J83" s="6" t="s">
        <v>218</v>
      </c>
      <c r="K83" s="6" t="n">
        <v>4</v>
      </c>
      <c r="L83" s="6" t="s">
        <v>603</v>
      </c>
      <c r="M83" s="6" t="s">
        <v>603</v>
      </c>
      <c r="N83" s="6" t="s">
        <v>617</v>
      </c>
      <c r="O83" s="6" t="s">
        <v>679</v>
      </c>
      <c r="P83" s="6" t="s">
        <v>606</v>
      </c>
      <c r="Q83" s="6" t="s">
        <v>603</v>
      </c>
      <c r="R83" s="7" t="s">
        <v>771</v>
      </c>
    </row>
    <row r="84" customFormat="false" ht="15" hidden="false" customHeight="false" outlineLevel="0" collapsed="false">
      <c r="A84" s="6" t="s">
        <v>790</v>
      </c>
      <c r="B84" s="8" t="n">
        <v>45761</v>
      </c>
      <c r="C84" s="6" t="s">
        <v>53</v>
      </c>
      <c r="D84" s="6" t="s">
        <v>286</v>
      </c>
      <c r="E84" s="6" t="s">
        <v>287</v>
      </c>
      <c r="F84" s="6" t="n">
        <v>4</v>
      </c>
      <c r="G84" s="6" t="s">
        <v>50</v>
      </c>
      <c r="H84" s="6" t="s">
        <v>602</v>
      </c>
      <c r="I84" s="6" t="s">
        <v>142</v>
      </c>
      <c r="J84" s="6" t="s">
        <v>143</v>
      </c>
      <c r="K84" s="6" t="n">
        <v>4</v>
      </c>
      <c r="L84" s="6" t="s">
        <v>603</v>
      </c>
      <c r="M84" s="6" t="s">
        <v>603</v>
      </c>
      <c r="N84" s="6" t="s">
        <v>604</v>
      </c>
      <c r="O84" s="6" t="s">
        <v>656</v>
      </c>
      <c r="P84" s="6" t="s">
        <v>606</v>
      </c>
      <c r="Q84" s="6" t="s">
        <v>603</v>
      </c>
      <c r="R84" s="7" t="s">
        <v>791</v>
      </c>
    </row>
    <row r="85" customFormat="false" ht="15" hidden="false" customHeight="false" outlineLevel="0" collapsed="false">
      <c r="A85" s="6" t="s">
        <v>792</v>
      </c>
      <c r="B85" s="8" t="n">
        <v>45765</v>
      </c>
      <c r="C85" s="6" t="s">
        <v>53</v>
      </c>
      <c r="D85" s="6" t="s">
        <v>320</v>
      </c>
      <c r="E85" s="6" t="s">
        <v>205</v>
      </c>
      <c r="F85" s="6" t="n">
        <v>5</v>
      </c>
      <c r="G85" s="6" t="s">
        <v>50</v>
      </c>
      <c r="H85" s="6" t="s">
        <v>602</v>
      </c>
      <c r="I85" s="6" t="s">
        <v>204</v>
      </c>
      <c r="J85" s="6" t="s">
        <v>205</v>
      </c>
      <c r="K85" s="6" t="n">
        <v>5</v>
      </c>
      <c r="L85" s="6" t="s">
        <v>603</v>
      </c>
      <c r="M85" s="6" t="s">
        <v>609</v>
      </c>
      <c r="N85" s="6" t="s">
        <v>670</v>
      </c>
      <c r="O85" s="6" t="s">
        <v>764</v>
      </c>
      <c r="P85" s="6" t="s">
        <v>606</v>
      </c>
      <c r="Q85" s="6" t="s">
        <v>603</v>
      </c>
      <c r="R85" s="7" t="s">
        <v>793</v>
      </c>
    </row>
    <row r="86" customFormat="false" ht="15" hidden="false" customHeight="false" outlineLevel="0" collapsed="false">
      <c r="A86" s="6" t="s">
        <v>794</v>
      </c>
      <c r="B86" s="8" t="n">
        <v>45845</v>
      </c>
      <c r="C86" s="6" t="s">
        <v>57</v>
      </c>
      <c r="D86" s="6" t="s">
        <v>404</v>
      </c>
      <c r="E86" s="6" t="s">
        <v>213</v>
      </c>
      <c r="F86" s="6" t="n">
        <v>4</v>
      </c>
      <c r="G86" s="6" t="s">
        <v>50</v>
      </c>
      <c r="H86" s="6" t="s">
        <v>602</v>
      </c>
      <c r="I86" s="6" t="s">
        <v>212</v>
      </c>
      <c r="J86" s="6" t="s">
        <v>213</v>
      </c>
      <c r="K86" s="6" t="n">
        <v>4</v>
      </c>
      <c r="L86" s="6" t="s">
        <v>603</v>
      </c>
      <c r="M86" s="6" t="s">
        <v>603</v>
      </c>
      <c r="N86" s="6" t="s">
        <v>617</v>
      </c>
      <c r="O86" s="6" t="s">
        <v>638</v>
      </c>
      <c r="P86" s="6" t="s">
        <v>606</v>
      </c>
      <c r="Q86" s="6" t="s">
        <v>603</v>
      </c>
      <c r="R86" s="7" t="s">
        <v>639</v>
      </c>
    </row>
    <row r="87" customFormat="false" ht="15" hidden="false" customHeight="false" outlineLevel="0" collapsed="false">
      <c r="A87" s="6" t="s">
        <v>795</v>
      </c>
      <c r="B87" s="8" t="n">
        <v>45853</v>
      </c>
      <c r="C87" s="6" t="s">
        <v>61</v>
      </c>
      <c r="D87" s="6" t="s">
        <v>507</v>
      </c>
      <c r="E87" s="6" t="s">
        <v>356</v>
      </c>
      <c r="F87" s="6" t="n">
        <v>4</v>
      </c>
      <c r="G87" s="6" t="s">
        <v>63</v>
      </c>
      <c r="H87" s="6" t="s">
        <v>602</v>
      </c>
      <c r="I87" s="6" t="s">
        <v>117</v>
      </c>
      <c r="J87" s="6" t="s">
        <v>118</v>
      </c>
      <c r="K87" s="6" t="n">
        <v>2.66</v>
      </c>
      <c r="L87" s="6" t="s">
        <v>603</v>
      </c>
      <c r="M87" s="6" t="s">
        <v>609</v>
      </c>
      <c r="N87" s="6" t="s">
        <v>613</v>
      </c>
      <c r="O87" s="6" t="s">
        <v>667</v>
      </c>
      <c r="P87" s="6" t="s">
        <v>606</v>
      </c>
      <c r="Q87" s="6" t="s">
        <v>603</v>
      </c>
      <c r="R87" s="7" t="s">
        <v>796</v>
      </c>
    </row>
    <row r="88" customFormat="false" ht="15" hidden="false" customHeight="false" outlineLevel="0" collapsed="false">
      <c r="A88" s="6" t="s">
        <v>797</v>
      </c>
      <c r="B88" s="8" t="n">
        <v>45860</v>
      </c>
      <c r="C88" s="6" t="s">
        <v>58</v>
      </c>
      <c r="D88" s="6" t="s">
        <v>460</v>
      </c>
      <c r="E88" s="6" t="s">
        <v>461</v>
      </c>
      <c r="F88" s="6" t="n">
        <v>4</v>
      </c>
      <c r="G88" s="6" t="s">
        <v>50</v>
      </c>
      <c r="H88" s="6" t="s">
        <v>602</v>
      </c>
      <c r="I88" s="6" t="s">
        <v>184</v>
      </c>
      <c r="J88" s="6" t="s">
        <v>185</v>
      </c>
      <c r="K88" s="6" t="n">
        <v>4</v>
      </c>
      <c r="L88" s="6" t="s">
        <v>603</v>
      </c>
      <c r="M88" s="6" t="s">
        <v>609</v>
      </c>
      <c r="N88" s="6" t="s">
        <v>641</v>
      </c>
      <c r="O88" s="6" t="s">
        <v>642</v>
      </c>
      <c r="P88" s="6" t="s">
        <v>606</v>
      </c>
      <c r="Q88" s="6" t="s">
        <v>603</v>
      </c>
      <c r="R88" s="7" t="s">
        <v>798</v>
      </c>
    </row>
    <row r="89" customFormat="false" ht="15" hidden="false" customHeight="false" outlineLevel="0" collapsed="false">
      <c r="A89" s="6" t="s">
        <v>799</v>
      </c>
      <c r="B89" s="8" t="n">
        <v>45875</v>
      </c>
      <c r="C89" s="6" t="s">
        <v>61</v>
      </c>
      <c r="D89" s="6" t="s">
        <v>501</v>
      </c>
      <c r="E89" s="6" t="s">
        <v>502</v>
      </c>
      <c r="F89" s="6" t="n">
        <v>3</v>
      </c>
      <c r="G89" s="6" t="s">
        <v>63</v>
      </c>
      <c r="H89" s="6" t="s">
        <v>625</v>
      </c>
      <c r="I89" s="6" t="s">
        <v>658</v>
      </c>
      <c r="J89" s="6" t="s">
        <v>51</v>
      </c>
      <c r="K89" s="6" t="n">
        <v>2</v>
      </c>
      <c r="L89" s="6" t="s">
        <v>609</v>
      </c>
      <c r="M89" s="6" t="s">
        <v>603</v>
      </c>
      <c r="N89" s="6" t="s">
        <v>617</v>
      </c>
      <c r="O89" s="6" t="s">
        <v>618</v>
      </c>
      <c r="P89" s="6" t="s">
        <v>606</v>
      </c>
      <c r="Q89" s="6" t="s">
        <v>603</v>
      </c>
      <c r="R89" s="7" t="s">
        <v>800</v>
      </c>
    </row>
    <row r="90" customFormat="false" ht="15" hidden="false" customHeight="false" outlineLevel="0" collapsed="false">
      <c r="A90" s="6" t="s">
        <v>801</v>
      </c>
      <c r="B90" s="8" t="n">
        <v>45939</v>
      </c>
      <c r="C90" s="6" t="s">
        <v>58</v>
      </c>
      <c r="D90" s="6" t="s">
        <v>475</v>
      </c>
      <c r="E90" s="6" t="s">
        <v>476</v>
      </c>
      <c r="F90" s="6" t="n">
        <v>3</v>
      </c>
      <c r="G90" s="6" t="s">
        <v>50</v>
      </c>
      <c r="H90" s="6" t="s">
        <v>625</v>
      </c>
      <c r="I90" s="6" t="s">
        <v>802</v>
      </c>
      <c r="J90" s="6" t="s">
        <v>51</v>
      </c>
      <c r="K90" s="6" t="n">
        <v>3</v>
      </c>
      <c r="L90" s="6" t="s">
        <v>609</v>
      </c>
      <c r="M90" s="6" t="s">
        <v>609</v>
      </c>
      <c r="N90" s="6" t="s">
        <v>803</v>
      </c>
      <c r="O90" s="6" t="s">
        <v>622</v>
      </c>
      <c r="P90" s="6" t="s">
        <v>606</v>
      </c>
      <c r="Q90" s="6" t="s">
        <v>603</v>
      </c>
      <c r="R90" s="7" t="s">
        <v>804</v>
      </c>
    </row>
    <row r="91" customFormat="false" ht="15" hidden="false" customHeight="false" outlineLevel="0" collapsed="false">
      <c r="A91" s="6" t="s">
        <v>805</v>
      </c>
      <c r="B91" s="8" t="n">
        <v>45944</v>
      </c>
      <c r="C91" s="6" t="s">
        <v>57</v>
      </c>
      <c r="D91" s="6" t="s">
        <v>400</v>
      </c>
      <c r="E91" s="6" t="s">
        <v>401</v>
      </c>
      <c r="F91" s="6" t="n">
        <v>5</v>
      </c>
      <c r="G91" s="6" t="s">
        <v>50</v>
      </c>
      <c r="H91" s="6" t="s">
        <v>602</v>
      </c>
      <c r="I91" s="6" t="s">
        <v>204</v>
      </c>
      <c r="J91" s="6" t="s">
        <v>205</v>
      </c>
      <c r="K91" s="6" t="n">
        <v>5</v>
      </c>
      <c r="L91" s="6" t="s">
        <v>603</v>
      </c>
      <c r="M91" s="6" t="s">
        <v>603</v>
      </c>
      <c r="N91" s="6" t="s">
        <v>670</v>
      </c>
      <c r="O91" s="6" t="s">
        <v>671</v>
      </c>
      <c r="P91" s="6" t="s">
        <v>606</v>
      </c>
      <c r="Q91" s="6" t="s">
        <v>603</v>
      </c>
      <c r="R91" s="7" t="s">
        <v>793</v>
      </c>
    </row>
    <row r="92" customFormat="false" ht="15" hidden="false" customHeight="false" outlineLevel="0" collapsed="false">
      <c r="A92" s="6" t="s">
        <v>806</v>
      </c>
      <c r="B92" s="8" t="n">
        <v>45945</v>
      </c>
      <c r="C92" s="6" t="s">
        <v>58</v>
      </c>
      <c r="D92" s="6" t="s">
        <v>451</v>
      </c>
      <c r="E92" s="6" t="s">
        <v>273</v>
      </c>
      <c r="F92" s="6" t="n">
        <v>3</v>
      </c>
      <c r="G92" s="6" t="s">
        <v>50</v>
      </c>
      <c r="H92" s="6" t="s">
        <v>602</v>
      </c>
      <c r="I92" s="6" t="s">
        <v>117</v>
      </c>
      <c r="J92" s="6" t="s">
        <v>118</v>
      </c>
      <c r="K92" s="6" t="n">
        <v>3</v>
      </c>
      <c r="L92" s="6" t="s">
        <v>603</v>
      </c>
      <c r="M92" s="6" t="s">
        <v>609</v>
      </c>
      <c r="N92" s="6" t="s">
        <v>613</v>
      </c>
      <c r="O92" s="6" t="s">
        <v>614</v>
      </c>
      <c r="P92" s="6" t="s">
        <v>606</v>
      </c>
      <c r="Q92" s="6" t="s">
        <v>603</v>
      </c>
      <c r="R92" s="7" t="s">
        <v>807</v>
      </c>
    </row>
    <row r="93" customFormat="false" ht="15" hidden="false" customHeight="false" outlineLevel="0" collapsed="false">
      <c r="A93" s="6" t="s">
        <v>808</v>
      </c>
      <c r="B93" s="8" t="n">
        <v>45965</v>
      </c>
      <c r="C93" s="6" t="s">
        <v>57</v>
      </c>
      <c r="D93" s="6" t="s">
        <v>343</v>
      </c>
      <c r="E93" s="6" t="s">
        <v>344</v>
      </c>
      <c r="F93" s="6" t="n">
        <v>4</v>
      </c>
      <c r="G93" s="6" t="s">
        <v>50</v>
      </c>
      <c r="H93" s="6" t="s">
        <v>602</v>
      </c>
      <c r="I93" s="6" t="s">
        <v>77</v>
      </c>
      <c r="J93" s="6" t="s">
        <v>78</v>
      </c>
      <c r="K93" s="6" t="n">
        <v>4</v>
      </c>
      <c r="L93" s="6" t="s">
        <v>603</v>
      </c>
      <c r="M93" s="6" t="s">
        <v>603</v>
      </c>
      <c r="N93" s="6" t="s">
        <v>621</v>
      </c>
      <c r="O93" s="6" t="s">
        <v>645</v>
      </c>
      <c r="P93" s="6" t="s">
        <v>606</v>
      </c>
      <c r="Q93" s="6" t="s">
        <v>603</v>
      </c>
      <c r="R93" s="7" t="s">
        <v>809</v>
      </c>
    </row>
    <row r="94" customFormat="false" ht="15" hidden="false" customHeight="false" outlineLevel="0" collapsed="false">
      <c r="A94" s="6" t="s">
        <v>810</v>
      </c>
      <c r="B94" s="8" t="n">
        <v>45976</v>
      </c>
      <c r="C94" s="6" t="s">
        <v>58</v>
      </c>
      <c r="D94" s="6" t="s">
        <v>450</v>
      </c>
      <c r="E94" s="6" t="s">
        <v>275</v>
      </c>
      <c r="F94" s="6" t="n">
        <v>3</v>
      </c>
      <c r="G94" s="6" t="s">
        <v>50</v>
      </c>
      <c r="H94" s="6" t="s">
        <v>602</v>
      </c>
      <c r="I94" s="6" t="s">
        <v>122</v>
      </c>
      <c r="J94" s="6" t="s">
        <v>123</v>
      </c>
      <c r="K94" s="6" t="n">
        <v>3</v>
      </c>
      <c r="L94" s="6" t="s">
        <v>603</v>
      </c>
      <c r="M94" s="6" t="s">
        <v>609</v>
      </c>
      <c r="N94" s="6" t="s">
        <v>613</v>
      </c>
      <c r="O94" s="6" t="s">
        <v>689</v>
      </c>
      <c r="P94" s="6" t="s">
        <v>606</v>
      </c>
      <c r="Q94" s="6" t="s">
        <v>603</v>
      </c>
      <c r="R94" s="7" t="s">
        <v>811</v>
      </c>
    </row>
    <row r="95" customFormat="false" ht="15" hidden="false" customHeight="false" outlineLevel="0" collapsed="false">
      <c r="A95" s="6" t="s">
        <v>812</v>
      </c>
      <c r="B95" s="8" t="n">
        <v>45991</v>
      </c>
      <c r="C95" s="6" t="s">
        <v>57</v>
      </c>
      <c r="D95" s="6" t="s">
        <v>367</v>
      </c>
      <c r="E95" s="6" t="s">
        <v>368</v>
      </c>
      <c r="F95" s="6" t="n">
        <v>4</v>
      </c>
      <c r="G95" s="6" t="s">
        <v>50</v>
      </c>
      <c r="H95" s="6" t="s">
        <v>602</v>
      </c>
      <c r="I95" s="6" t="s">
        <v>142</v>
      </c>
      <c r="J95" s="6" t="s">
        <v>143</v>
      </c>
      <c r="K95" s="6" t="n">
        <v>4</v>
      </c>
      <c r="L95" s="6" t="s">
        <v>603</v>
      </c>
      <c r="M95" s="6" t="s">
        <v>609</v>
      </c>
      <c r="N95" s="6" t="s">
        <v>604</v>
      </c>
      <c r="O95" s="6" t="s">
        <v>610</v>
      </c>
      <c r="P95" s="6" t="s">
        <v>606</v>
      </c>
      <c r="Q95" s="6" t="s">
        <v>603</v>
      </c>
      <c r="R95" s="7" t="s">
        <v>791</v>
      </c>
    </row>
    <row r="96" customFormat="false" ht="23.85" hidden="false" customHeight="false" outlineLevel="0" collapsed="false">
      <c r="A96" s="6" t="s">
        <v>813</v>
      </c>
      <c r="B96" s="8" t="n">
        <v>46026</v>
      </c>
      <c r="C96" s="6" t="s">
        <v>61</v>
      </c>
      <c r="D96" s="6" t="s">
        <v>488</v>
      </c>
      <c r="E96" s="6" t="s">
        <v>489</v>
      </c>
      <c r="F96" s="6" t="n">
        <v>4</v>
      </c>
      <c r="G96" s="6" t="s">
        <v>63</v>
      </c>
      <c r="H96" s="6" t="s">
        <v>625</v>
      </c>
      <c r="I96" s="6" t="s">
        <v>626</v>
      </c>
      <c r="J96" s="6" t="s">
        <v>51</v>
      </c>
      <c r="K96" s="6" t="n">
        <v>2.66</v>
      </c>
      <c r="L96" s="6" t="s">
        <v>609</v>
      </c>
      <c r="M96" s="6" t="s">
        <v>603</v>
      </c>
      <c r="N96" s="6" t="s">
        <v>621</v>
      </c>
      <c r="O96" s="6" t="s">
        <v>622</v>
      </c>
      <c r="P96" s="6" t="s">
        <v>606</v>
      </c>
      <c r="Q96" s="6" t="s">
        <v>603</v>
      </c>
      <c r="R96" s="7" t="s">
        <v>814</v>
      </c>
    </row>
    <row r="97" customFormat="false" ht="15" hidden="false" customHeight="false" outlineLevel="0" collapsed="false">
      <c r="A97" s="6" t="s">
        <v>815</v>
      </c>
      <c r="B97" s="8" t="n">
        <v>46048</v>
      </c>
      <c r="C97" s="6" t="s">
        <v>58</v>
      </c>
      <c r="D97" s="6" t="s">
        <v>470</v>
      </c>
      <c r="E97" s="6" t="s">
        <v>471</v>
      </c>
      <c r="F97" s="6" t="n">
        <v>3</v>
      </c>
      <c r="G97" s="6" t="s">
        <v>50</v>
      </c>
      <c r="H97" s="6" t="s">
        <v>575</v>
      </c>
      <c r="I97" s="6" t="s">
        <v>51</v>
      </c>
      <c r="J97" s="6" t="s">
        <v>51</v>
      </c>
      <c r="K97" s="6" t="n">
        <v>0</v>
      </c>
      <c r="L97" s="6" t="s">
        <v>609</v>
      </c>
      <c r="M97" s="6" t="s">
        <v>609</v>
      </c>
      <c r="N97" s="6" t="s">
        <v>816</v>
      </c>
      <c r="O97" s="6" t="s">
        <v>817</v>
      </c>
      <c r="P97" s="6" t="s">
        <v>606</v>
      </c>
      <c r="Q97" s="6" t="s">
        <v>603</v>
      </c>
      <c r="R97" s="7" t="s">
        <v>818</v>
      </c>
    </row>
    <row r="98" customFormat="false" ht="15" hidden="false" customHeight="false" outlineLevel="0" collapsed="false">
      <c r="A98" s="6" t="s">
        <v>819</v>
      </c>
      <c r="B98" s="8" t="n">
        <v>46050</v>
      </c>
      <c r="C98" s="6" t="s">
        <v>53</v>
      </c>
      <c r="D98" s="6" t="s">
        <v>264</v>
      </c>
      <c r="E98" s="6" t="s">
        <v>265</v>
      </c>
      <c r="F98" s="6" t="n">
        <v>4</v>
      </c>
      <c r="G98" s="6" t="s">
        <v>50</v>
      </c>
      <c r="H98" s="6" t="s">
        <v>625</v>
      </c>
      <c r="I98" s="6" t="s">
        <v>626</v>
      </c>
      <c r="J98" s="6" t="s">
        <v>51</v>
      </c>
      <c r="K98" s="6" t="n">
        <v>4</v>
      </c>
      <c r="L98" s="6" t="s">
        <v>609</v>
      </c>
      <c r="M98" s="6" t="s">
        <v>603</v>
      </c>
      <c r="N98" s="6" t="s">
        <v>621</v>
      </c>
      <c r="O98" s="6" t="s">
        <v>622</v>
      </c>
      <c r="P98" s="6" t="s">
        <v>606</v>
      </c>
      <c r="Q98" s="6" t="s">
        <v>603</v>
      </c>
      <c r="R98" s="7" t="s">
        <v>659</v>
      </c>
    </row>
    <row r="99" customFormat="false" ht="15" hidden="false" customHeight="false" outlineLevel="0" collapsed="false">
      <c r="A99" s="6" t="s">
        <v>820</v>
      </c>
      <c r="B99" s="8" t="n">
        <v>46060</v>
      </c>
      <c r="C99" s="6" t="s">
        <v>57</v>
      </c>
      <c r="D99" s="6" t="s">
        <v>406</v>
      </c>
      <c r="E99" s="6" t="s">
        <v>407</v>
      </c>
      <c r="F99" s="6" t="n">
        <v>4</v>
      </c>
      <c r="G99" s="6" t="s">
        <v>50</v>
      </c>
      <c r="H99" s="6" t="s">
        <v>602</v>
      </c>
      <c r="I99" s="6" t="s">
        <v>221</v>
      </c>
      <c r="J99" s="6" t="s">
        <v>222</v>
      </c>
      <c r="K99" s="6" t="n">
        <v>4</v>
      </c>
      <c r="L99" s="6" t="s">
        <v>603</v>
      </c>
      <c r="M99" s="6" t="s">
        <v>609</v>
      </c>
      <c r="N99" s="6" t="s">
        <v>617</v>
      </c>
      <c r="O99" s="6" t="s">
        <v>679</v>
      </c>
      <c r="P99" s="6" t="s">
        <v>606</v>
      </c>
      <c r="Q99" s="6" t="s">
        <v>603</v>
      </c>
      <c r="R99" s="7" t="s">
        <v>652</v>
      </c>
    </row>
    <row r="100" customFormat="false" ht="15" hidden="false" customHeight="false" outlineLevel="0" collapsed="false">
      <c r="A100" s="6" t="s">
        <v>821</v>
      </c>
      <c r="B100" s="8" t="n">
        <v>46069</v>
      </c>
      <c r="C100" s="6" t="s">
        <v>57</v>
      </c>
      <c r="D100" s="6" t="s">
        <v>369</v>
      </c>
      <c r="E100" s="6" t="s">
        <v>370</v>
      </c>
      <c r="F100" s="6" t="n">
        <v>4</v>
      </c>
      <c r="G100" s="6" t="s">
        <v>50</v>
      </c>
      <c r="H100" s="6" t="s">
        <v>625</v>
      </c>
      <c r="I100" s="6" t="s">
        <v>635</v>
      </c>
      <c r="J100" s="6" t="s">
        <v>51</v>
      </c>
      <c r="K100" s="6" t="n">
        <v>4</v>
      </c>
      <c r="L100" s="6" t="s">
        <v>609</v>
      </c>
      <c r="M100" s="6" t="s">
        <v>603</v>
      </c>
      <c r="N100" s="6" t="s">
        <v>604</v>
      </c>
      <c r="O100" s="6" t="s">
        <v>656</v>
      </c>
      <c r="P100" s="6" t="s">
        <v>606</v>
      </c>
      <c r="Q100" s="6" t="s">
        <v>603</v>
      </c>
      <c r="R100" s="7" t="s">
        <v>822</v>
      </c>
    </row>
    <row r="101" customFormat="false" ht="15" hidden="false" customHeight="false" outlineLevel="0" collapsed="false">
      <c r="A101" s="6" t="s">
        <v>823</v>
      </c>
      <c r="B101" s="8" t="n">
        <v>46090</v>
      </c>
      <c r="C101" s="6" t="s">
        <v>53</v>
      </c>
      <c r="D101" s="6" t="s">
        <v>333</v>
      </c>
      <c r="E101" s="6" t="s">
        <v>334</v>
      </c>
      <c r="F101" s="6" t="n">
        <v>4</v>
      </c>
      <c r="G101" s="6" t="s">
        <v>50</v>
      </c>
      <c r="H101" s="6" t="s">
        <v>625</v>
      </c>
      <c r="I101" s="6" t="s">
        <v>658</v>
      </c>
      <c r="J101" s="6" t="s">
        <v>51</v>
      </c>
      <c r="K101" s="6" t="n">
        <v>4</v>
      </c>
      <c r="L101" s="6" t="s">
        <v>609</v>
      </c>
      <c r="M101" s="6" t="s">
        <v>603</v>
      </c>
      <c r="N101" s="6" t="s">
        <v>617</v>
      </c>
      <c r="O101" s="6" t="s">
        <v>638</v>
      </c>
      <c r="P101" s="6" t="s">
        <v>606</v>
      </c>
      <c r="Q101" s="6" t="s">
        <v>603</v>
      </c>
      <c r="R101" s="7" t="s">
        <v>824</v>
      </c>
    </row>
    <row r="102" customFormat="false" ht="23.85" hidden="false" customHeight="false" outlineLevel="0" collapsed="false">
      <c r="A102" s="6" t="s">
        <v>825</v>
      </c>
      <c r="B102" s="8" t="n">
        <v>46092</v>
      </c>
      <c r="C102" s="6" t="s">
        <v>53</v>
      </c>
      <c r="D102" s="6" t="s">
        <v>282</v>
      </c>
      <c r="E102" s="6" t="s">
        <v>283</v>
      </c>
      <c r="F102" s="6" t="n">
        <v>4</v>
      </c>
      <c r="G102" s="6" t="s">
        <v>50</v>
      </c>
      <c r="H102" s="6" t="s">
        <v>625</v>
      </c>
      <c r="I102" s="6" t="s">
        <v>826</v>
      </c>
      <c r="J102" s="6" t="s">
        <v>51</v>
      </c>
      <c r="K102" s="6" t="n">
        <v>4</v>
      </c>
      <c r="L102" s="6" t="s">
        <v>609</v>
      </c>
      <c r="M102" s="6" t="s">
        <v>603</v>
      </c>
      <c r="N102" s="6" t="s">
        <v>613</v>
      </c>
      <c r="O102" s="6" t="s">
        <v>667</v>
      </c>
      <c r="P102" s="6" t="s">
        <v>606</v>
      </c>
      <c r="Q102" s="6" t="s">
        <v>603</v>
      </c>
      <c r="R102" s="7" t="s">
        <v>827</v>
      </c>
    </row>
    <row r="103" customFormat="false" ht="15" hidden="false" customHeight="false" outlineLevel="0" collapsed="false">
      <c r="A103" s="6" t="s">
        <v>828</v>
      </c>
      <c r="B103" s="8" t="n">
        <v>46123</v>
      </c>
      <c r="C103" s="6" t="s">
        <v>58</v>
      </c>
      <c r="D103" s="6" t="s">
        <v>452</v>
      </c>
      <c r="E103" s="6" t="s">
        <v>453</v>
      </c>
      <c r="F103" s="6" t="n">
        <v>3</v>
      </c>
      <c r="G103" s="6" t="s">
        <v>50</v>
      </c>
      <c r="H103" s="6" t="s">
        <v>602</v>
      </c>
      <c r="I103" s="6" t="s">
        <v>142</v>
      </c>
      <c r="J103" s="6" t="s">
        <v>143</v>
      </c>
      <c r="K103" s="6" t="n">
        <v>3</v>
      </c>
      <c r="L103" s="6" t="s">
        <v>603</v>
      </c>
      <c r="M103" s="6" t="s">
        <v>609</v>
      </c>
      <c r="N103" s="6" t="s">
        <v>604</v>
      </c>
      <c r="O103" s="6" t="s">
        <v>610</v>
      </c>
      <c r="P103" s="6" t="s">
        <v>606</v>
      </c>
      <c r="Q103" s="6" t="s">
        <v>603</v>
      </c>
      <c r="R103" s="7" t="s">
        <v>829</v>
      </c>
    </row>
    <row r="104" customFormat="false" ht="15" hidden="false" customHeight="false" outlineLevel="0" collapsed="false">
      <c r="A104" s="6" t="s">
        <v>830</v>
      </c>
      <c r="B104" s="8" t="n">
        <v>46128</v>
      </c>
      <c r="C104" s="6" t="s">
        <v>57</v>
      </c>
      <c r="D104" s="6" t="s">
        <v>357</v>
      </c>
      <c r="E104" s="6" t="s">
        <v>358</v>
      </c>
      <c r="F104" s="6" t="n">
        <v>4</v>
      </c>
      <c r="G104" s="6" t="s">
        <v>50</v>
      </c>
      <c r="H104" s="6" t="s">
        <v>602</v>
      </c>
      <c r="I104" s="6" t="s">
        <v>122</v>
      </c>
      <c r="J104" s="6" t="s">
        <v>123</v>
      </c>
      <c r="K104" s="6" t="n">
        <v>4</v>
      </c>
      <c r="L104" s="6" t="s">
        <v>603</v>
      </c>
      <c r="M104" s="6" t="s">
        <v>609</v>
      </c>
      <c r="N104" s="6" t="s">
        <v>613</v>
      </c>
      <c r="O104" s="6" t="s">
        <v>614</v>
      </c>
      <c r="P104" s="6" t="s">
        <v>606</v>
      </c>
      <c r="Q104" s="6" t="s">
        <v>603</v>
      </c>
      <c r="R104" s="7" t="s">
        <v>721</v>
      </c>
    </row>
    <row r="105" customFormat="false" ht="15" hidden="false" customHeight="false" outlineLevel="0" collapsed="false">
      <c r="A105" s="6" t="s">
        <v>831</v>
      </c>
      <c r="B105" s="8" t="n">
        <v>46147</v>
      </c>
      <c r="C105" s="6" t="s">
        <v>58</v>
      </c>
      <c r="D105" s="6" t="s">
        <v>436</v>
      </c>
      <c r="E105" s="6" t="s">
        <v>226</v>
      </c>
      <c r="F105" s="6" t="n">
        <v>3</v>
      </c>
      <c r="G105" s="6" t="s">
        <v>50</v>
      </c>
      <c r="H105" s="6" t="s">
        <v>602</v>
      </c>
      <c r="I105" s="6" t="s">
        <v>225</v>
      </c>
      <c r="J105" s="6" t="s">
        <v>226</v>
      </c>
      <c r="K105" s="6" t="n">
        <v>3</v>
      </c>
      <c r="L105" s="6" t="s">
        <v>603</v>
      </c>
      <c r="M105" s="6" t="s">
        <v>603</v>
      </c>
      <c r="N105" s="6" t="s">
        <v>617</v>
      </c>
      <c r="O105" s="6" t="s">
        <v>679</v>
      </c>
      <c r="P105" s="6" t="s">
        <v>606</v>
      </c>
      <c r="Q105" s="6" t="s">
        <v>603</v>
      </c>
      <c r="R105" s="7" t="s">
        <v>832</v>
      </c>
    </row>
    <row r="106" customFormat="false" ht="15" hidden="false" customHeight="false" outlineLevel="0" collapsed="false">
      <c r="A106" s="6" t="s">
        <v>833</v>
      </c>
      <c r="B106" s="8" t="n">
        <v>46148</v>
      </c>
      <c r="C106" s="6" t="s">
        <v>58</v>
      </c>
      <c r="D106" s="6" t="s">
        <v>437</v>
      </c>
      <c r="E106" s="6" t="s">
        <v>438</v>
      </c>
      <c r="F106" s="6" t="n">
        <v>3</v>
      </c>
      <c r="G106" s="6" t="s">
        <v>50</v>
      </c>
      <c r="H106" s="6" t="s">
        <v>625</v>
      </c>
      <c r="I106" s="6" t="s">
        <v>658</v>
      </c>
      <c r="J106" s="6" t="s">
        <v>51</v>
      </c>
      <c r="K106" s="6" t="n">
        <v>3</v>
      </c>
      <c r="L106" s="6" t="s">
        <v>609</v>
      </c>
      <c r="M106" s="6" t="s">
        <v>609</v>
      </c>
      <c r="N106" s="6" t="s">
        <v>617</v>
      </c>
      <c r="O106" s="6" t="s">
        <v>618</v>
      </c>
      <c r="P106" s="6" t="s">
        <v>606</v>
      </c>
      <c r="Q106" s="6" t="s">
        <v>603</v>
      </c>
      <c r="R106" s="7" t="s">
        <v>834</v>
      </c>
    </row>
    <row r="107" customFormat="false" ht="15" hidden="false" customHeight="false" outlineLevel="0" collapsed="false">
      <c r="A107" s="6" t="s">
        <v>835</v>
      </c>
      <c r="B107" s="8" t="n">
        <v>46157</v>
      </c>
      <c r="C107" s="6" t="s">
        <v>57</v>
      </c>
      <c r="D107" s="6" t="s">
        <v>396</v>
      </c>
      <c r="E107" s="6" t="s">
        <v>397</v>
      </c>
      <c r="F107" s="6" t="n">
        <v>5</v>
      </c>
      <c r="G107" s="6" t="s">
        <v>50</v>
      </c>
      <c r="H107" s="6" t="s">
        <v>602</v>
      </c>
      <c r="I107" s="6" t="s">
        <v>196</v>
      </c>
      <c r="J107" s="6" t="s">
        <v>197</v>
      </c>
      <c r="K107" s="6" t="n">
        <v>5</v>
      </c>
      <c r="L107" s="6" t="s">
        <v>603</v>
      </c>
      <c r="M107" s="6" t="s">
        <v>609</v>
      </c>
      <c r="N107" s="6" t="s">
        <v>670</v>
      </c>
      <c r="O107" s="6" t="s">
        <v>671</v>
      </c>
      <c r="P107" s="6" t="s">
        <v>606</v>
      </c>
      <c r="Q107" s="6" t="s">
        <v>603</v>
      </c>
      <c r="R107" s="7" t="s">
        <v>836</v>
      </c>
    </row>
    <row r="108" customFormat="false" ht="15" hidden="false" customHeight="false" outlineLevel="0" collapsed="false">
      <c r="A108" s="6" t="s">
        <v>837</v>
      </c>
      <c r="B108" s="8" t="n">
        <v>46182</v>
      </c>
      <c r="C108" s="6" t="s">
        <v>61</v>
      </c>
      <c r="D108" s="6" t="s">
        <v>505</v>
      </c>
      <c r="E108" s="6" t="s">
        <v>506</v>
      </c>
      <c r="F108" s="6" t="n">
        <v>5</v>
      </c>
      <c r="G108" s="6" t="s">
        <v>63</v>
      </c>
      <c r="H108" s="6" t="s">
        <v>625</v>
      </c>
      <c r="I108" s="6" t="s">
        <v>658</v>
      </c>
      <c r="J108" s="6" t="s">
        <v>51</v>
      </c>
      <c r="K108" s="6" t="n">
        <v>3.33</v>
      </c>
      <c r="L108" s="6" t="s">
        <v>609</v>
      </c>
      <c r="M108" s="6" t="s">
        <v>609</v>
      </c>
      <c r="N108" s="6" t="s">
        <v>617</v>
      </c>
      <c r="O108" s="6" t="s">
        <v>638</v>
      </c>
      <c r="P108" s="6" t="s">
        <v>606</v>
      </c>
      <c r="Q108" s="6" t="s">
        <v>603</v>
      </c>
      <c r="R108" s="7" t="s">
        <v>834</v>
      </c>
    </row>
    <row r="109" customFormat="false" ht="15" hidden="false" customHeight="false" outlineLevel="0" collapsed="false">
      <c r="A109" s="6" t="s">
        <v>838</v>
      </c>
      <c r="B109" s="8" t="n">
        <v>46199</v>
      </c>
      <c r="C109" s="6" t="s">
        <v>58</v>
      </c>
      <c r="D109" s="6" t="s">
        <v>431</v>
      </c>
      <c r="E109" s="6" t="s">
        <v>213</v>
      </c>
      <c r="F109" s="6" t="n">
        <v>4</v>
      </c>
      <c r="G109" s="6" t="s">
        <v>50</v>
      </c>
      <c r="H109" s="6" t="s">
        <v>602</v>
      </c>
      <c r="I109" s="6" t="s">
        <v>212</v>
      </c>
      <c r="J109" s="6" t="s">
        <v>213</v>
      </c>
      <c r="K109" s="6" t="n">
        <v>4</v>
      </c>
      <c r="L109" s="6" t="s">
        <v>603</v>
      </c>
      <c r="M109" s="6" t="s">
        <v>609</v>
      </c>
      <c r="N109" s="6" t="s">
        <v>617</v>
      </c>
      <c r="O109" s="6" t="s">
        <v>638</v>
      </c>
      <c r="P109" s="6" t="s">
        <v>606</v>
      </c>
      <c r="Q109" s="6" t="s">
        <v>603</v>
      </c>
      <c r="R109" s="7" t="s">
        <v>839</v>
      </c>
    </row>
    <row r="110" customFormat="false" ht="15" hidden="false" customHeight="false" outlineLevel="0" collapsed="false">
      <c r="A110" s="6" t="s">
        <v>840</v>
      </c>
      <c r="B110" s="8" t="n">
        <v>46201</v>
      </c>
      <c r="C110" s="6" t="s">
        <v>57</v>
      </c>
      <c r="D110" s="6" t="s">
        <v>391</v>
      </c>
      <c r="E110" s="6" t="s">
        <v>392</v>
      </c>
      <c r="F110" s="6" t="n">
        <v>4</v>
      </c>
      <c r="G110" s="6" t="s">
        <v>50</v>
      </c>
      <c r="H110" s="6" t="s">
        <v>602</v>
      </c>
      <c r="I110" s="6" t="s">
        <v>188</v>
      </c>
      <c r="J110" s="6" t="s">
        <v>189</v>
      </c>
      <c r="K110" s="6" t="n">
        <v>4</v>
      </c>
      <c r="L110" s="6" t="s">
        <v>603</v>
      </c>
      <c r="M110" s="6" t="s">
        <v>603</v>
      </c>
      <c r="N110" s="6" t="s">
        <v>641</v>
      </c>
      <c r="O110" s="6" t="s">
        <v>642</v>
      </c>
      <c r="P110" s="6" t="s">
        <v>606</v>
      </c>
      <c r="Q110" s="6" t="s">
        <v>603</v>
      </c>
      <c r="R110" s="7" t="s">
        <v>841</v>
      </c>
    </row>
    <row r="111" customFormat="false" ht="15" hidden="false" customHeight="false" outlineLevel="0" collapsed="false">
      <c r="A111" s="6" t="s">
        <v>842</v>
      </c>
      <c r="B111" s="8" t="n">
        <v>46212</v>
      </c>
      <c r="C111" s="6" t="s">
        <v>57</v>
      </c>
      <c r="D111" s="6" t="s">
        <v>384</v>
      </c>
      <c r="E111" s="6" t="s">
        <v>164</v>
      </c>
      <c r="F111" s="6" t="n">
        <v>4</v>
      </c>
      <c r="G111" s="6" t="s">
        <v>50</v>
      </c>
      <c r="H111" s="6" t="s">
        <v>602</v>
      </c>
      <c r="I111" s="6" t="s">
        <v>163</v>
      </c>
      <c r="J111" s="6" t="s">
        <v>164</v>
      </c>
      <c r="K111" s="6" t="n">
        <v>4</v>
      </c>
      <c r="L111" s="6" t="s">
        <v>603</v>
      </c>
      <c r="M111" s="6" t="s">
        <v>603</v>
      </c>
      <c r="N111" s="6" t="s">
        <v>604</v>
      </c>
      <c r="O111" s="6" t="s">
        <v>610</v>
      </c>
      <c r="P111" s="6" t="s">
        <v>606</v>
      </c>
      <c r="Q111" s="6" t="s">
        <v>603</v>
      </c>
      <c r="R111" s="7" t="s">
        <v>727</v>
      </c>
    </row>
    <row r="112" customFormat="false" ht="15" hidden="false" customHeight="false" outlineLevel="0" collapsed="false">
      <c r="A112" s="6" t="s">
        <v>843</v>
      </c>
      <c r="B112" s="8" t="n">
        <v>46255</v>
      </c>
      <c r="C112" s="6" t="s">
        <v>53</v>
      </c>
      <c r="D112" s="6" t="s">
        <v>329</v>
      </c>
      <c r="E112" s="6" t="s">
        <v>330</v>
      </c>
      <c r="F112" s="6" t="n">
        <v>4</v>
      </c>
      <c r="G112" s="6" t="s">
        <v>50</v>
      </c>
      <c r="H112" s="6" t="s">
        <v>625</v>
      </c>
      <c r="I112" s="6" t="s">
        <v>658</v>
      </c>
      <c r="J112" s="6" t="s">
        <v>51</v>
      </c>
      <c r="K112" s="6" t="n">
        <v>4</v>
      </c>
      <c r="L112" s="6" t="s">
        <v>609</v>
      </c>
      <c r="M112" s="6" t="s">
        <v>603</v>
      </c>
      <c r="N112" s="6" t="s">
        <v>617</v>
      </c>
      <c r="O112" s="6" t="s">
        <v>618</v>
      </c>
      <c r="P112" s="6" t="s">
        <v>606</v>
      </c>
      <c r="Q112" s="6" t="s">
        <v>603</v>
      </c>
      <c r="R112" s="7" t="s">
        <v>844</v>
      </c>
    </row>
  </sheetData>
  <autoFilter ref="A1:R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1"/>
  </cols>
  <sheetData>
    <row r="1" customFormat="false" ht="39.55" hidden="false" customHeight="false" outlineLevel="0" collapsed="false">
      <c r="A1" s="5" t="s">
        <v>587</v>
      </c>
      <c r="B1" s="5" t="s">
        <v>588</v>
      </c>
      <c r="C1" s="5" t="s">
        <v>589</v>
      </c>
      <c r="D1" s="5" t="s">
        <v>591</v>
      </c>
      <c r="E1" s="5" t="s">
        <v>602</v>
      </c>
      <c r="F1" s="5" t="s">
        <v>845</v>
      </c>
      <c r="G1" s="5" t="s">
        <v>595</v>
      </c>
      <c r="H1" s="5" t="s">
        <v>846</v>
      </c>
      <c r="I1" s="5" t="s">
        <v>847</v>
      </c>
      <c r="J1" s="5" t="s">
        <v>585</v>
      </c>
    </row>
    <row r="2" customFormat="false" ht="15" hidden="false" customHeight="false" outlineLevel="0" collapsed="false">
      <c r="A2" s="6" t="s">
        <v>58</v>
      </c>
      <c r="B2" s="6" t="s">
        <v>458</v>
      </c>
      <c r="C2" s="6" t="s">
        <v>459</v>
      </c>
      <c r="D2" s="6" t="s">
        <v>602</v>
      </c>
      <c r="E2" s="6" t="s">
        <v>179</v>
      </c>
      <c r="F2" s="6" t="n">
        <v>4</v>
      </c>
      <c r="G2" s="6" t="s">
        <v>603</v>
      </c>
      <c r="H2" s="8" t="n">
        <v>44614</v>
      </c>
      <c r="I2" s="8" t="n">
        <v>46440</v>
      </c>
      <c r="J2" s="6" t="s">
        <v>681</v>
      </c>
    </row>
    <row r="3" customFormat="false" ht="15" hidden="false" customHeight="false" outlineLevel="0" collapsed="false">
      <c r="A3" s="6" t="s">
        <v>58</v>
      </c>
      <c r="B3" s="6" t="s">
        <v>460</v>
      </c>
      <c r="C3" s="6" t="s">
        <v>461</v>
      </c>
      <c r="D3" s="6" t="s">
        <v>602</v>
      </c>
      <c r="E3" s="6" t="s">
        <v>184</v>
      </c>
      <c r="F3" s="6" t="n">
        <v>4</v>
      </c>
      <c r="G3" s="6" t="s">
        <v>603</v>
      </c>
      <c r="H3" s="8" t="n">
        <v>45860</v>
      </c>
      <c r="I3" s="8" t="n">
        <v>47686</v>
      </c>
      <c r="J3" s="6" t="s">
        <v>797</v>
      </c>
    </row>
    <row r="4" customFormat="false" ht="15" hidden="false" customHeight="false" outlineLevel="0" collapsed="false">
      <c r="A4" s="6" t="s">
        <v>58</v>
      </c>
      <c r="B4" s="6" t="s">
        <v>462</v>
      </c>
      <c r="C4" s="6" t="s">
        <v>397</v>
      </c>
      <c r="D4" s="6" t="s">
        <v>602</v>
      </c>
      <c r="E4" s="6" t="s">
        <v>196</v>
      </c>
      <c r="F4" s="6" t="n">
        <v>4</v>
      </c>
      <c r="G4" s="6" t="s">
        <v>603</v>
      </c>
      <c r="H4" s="8" t="n">
        <v>45600</v>
      </c>
      <c r="I4" s="8" t="n">
        <v>47426</v>
      </c>
      <c r="J4" s="6" t="s">
        <v>776</v>
      </c>
    </row>
    <row r="5" customFormat="false" ht="15" hidden="false" customHeight="false" outlineLevel="0" collapsed="false">
      <c r="A5" s="6" t="s">
        <v>58</v>
      </c>
      <c r="B5" s="6" t="s">
        <v>464</v>
      </c>
      <c r="C5" s="6" t="s">
        <v>399</v>
      </c>
      <c r="D5" s="6" t="s">
        <v>602</v>
      </c>
      <c r="E5" s="6" t="s">
        <v>200</v>
      </c>
      <c r="F5" s="6" t="n">
        <v>4</v>
      </c>
      <c r="G5" s="6" t="s">
        <v>603</v>
      </c>
      <c r="H5" s="8" t="n">
        <v>45229</v>
      </c>
      <c r="I5" s="8" t="n">
        <v>47055</v>
      </c>
      <c r="J5" s="6" t="s">
        <v>739</v>
      </c>
    </row>
    <row r="6" customFormat="false" ht="15" hidden="false" customHeight="false" outlineLevel="0" collapsed="false">
      <c r="A6" s="6" t="s">
        <v>58</v>
      </c>
      <c r="B6" s="6" t="s">
        <v>475</v>
      </c>
      <c r="C6" s="6" t="s">
        <v>476</v>
      </c>
      <c r="D6" s="6" t="s">
        <v>625</v>
      </c>
      <c r="E6" s="6" t="s">
        <v>802</v>
      </c>
      <c r="F6" s="6" t="n">
        <v>3</v>
      </c>
      <c r="G6" s="6" t="s">
        <v>609</v>
      </c>
      <c r="H6" s="8" t="n">
        <v>45939</v>
      </c>
      <c r="I6" s="8" t="n">
        <v>47765</v>
      </c>
      <c r="J6" s="6" t="s">
        <v>801</v>
      </c>
    </row>
    <row r="7" customFormat="false" ht="15" hidden="false" customHeight="false" outlineLevel="0" collapsed="false">
      <c r="A7" s="6" t="s">
        <v>58</v>
      </c>
      <c r="B7" s="6" t="s">
        <v>415</v>
      </c>
      <c r="C7" s="6" t="s">
        <v>416</v>
      </c>
      <c r="D7" s="6" t="s">
        <v>602</v>
      </c>
      <c r="E7" s="6" t="s">
        <v>71</v>
      </c>
      <c r="F7" s="6" t="n">
        <v>4</v>
      </c>
      <c r="G7" s="6" t="s">
        <v>603</v>
      </c>
      <c r="H7" s="8" t="n">
        <v>44452</v>
      </c>
      <c r="I7" s="8" t="n">
        <v>46278</v>
      </c>
      <c r="J7" s="6" t="s">
        <v>644</v>
      </c>
    </row>
    <row r="8" customFormat="false" ht="15" hidden="false" customHeight="false" outlineLevel="0" collapsed="false">
      <c r="A8" s="6" t="s">
        <v>58</v>
      </c>
      <c r="B8" s="6" t="s">
        <v>417</v>
      </c>
      <c r="C8" s="6" t="s">
        <v>418</v>
      </c>
      <c r="D8" s="6" t="s">
        <v>575</v>
      </c>
      <c r="E8" s="6" t="s">
        <v>51</v>
      </c>
      <c r="F8" s="6" t="n">
        <v>0</v>
      </c>
      <c r="G8" s="6" t="s">
        <v>609</v>
      </c>
      <c r="H8" s="8" t="n">
        <v>44487</v>
      </c>
      <c r="I8" s="8" t="n">
        <v>46313</v>
      </c>
      <c r="J8" s="6" t="s">
        <v>653</v>
      </c>
    </row>
    <row r="9" customFormat="false" ht="15" hidden="false" customHeight="false" outlineLevel="0" collapsed="false">
      <c r="A9" s="6" t="s">
        <v>58</v>
      </c>
      <c r="B9" s="6" t="s">
        <v>450</v>
      </c>
      <c r="C9" s="6" t="s">
        <v>275</v>
      </c>
      <c r="D9" s="6" t="s">
        <v>602</v>
      </c>
      <c r="E9" s="6" t="s">
        <v>122</v>
      </c>
      <c r="F9" s="6" t="n">
        <v>3</v>
      </c>
      <c r="G9" s="6" t="s">
        <v>603</v>
      </c>
      <c r="H9" s="8" t="n">
        <v>45976</v>
      </c>
      <c r="I9" s="8" t="n">
        <v>47802</v>
      </c>
      <c r="J9" s="6" t="s">
        <v>810</v>
      </c>
    </row>
    <row r="10" customFormat="false" ht="15" hidden="false" customHeight="false" outlineLevel="0" collapsed="false">
      <c r="A10" s="6" t="s">
        <v>58</v>
      </c>
      <c r="B10" s="6" t="s">
        <v>451</v>
      </c>
      <c r="C10" s="6" t="s">
        <v>273</v>
      </c>
      <c r="D10" s="6" t="s">
        <v>602</v>
      </c>
      <c r="E10" s="6" t="s">
        <v>117</v>
      </c>
      <c r="F10" s="6" t="n">
        <v>3</v>
      </c>
      <c r="G10" s="6" t="s">
        <v>603</v>
      </c>
      <c r="H10" s="8" t="n">
        <v>45945</v>
      </c>
      <c r="I10" s="8" t="n">
        <v>47771</v>
      </c>
      <c r="J10" s="6" t="s">
        <v>806</v>
      </c>
    </row>
    <row r="11" customFormat="false" ht="15" hidden="false" customHeight="false" outlineLevel="0" collapsed="false">
      <c r="A11" s="6" t="s">
        <v>58</v>
      </c>
      <c r="B11" s="6" t="s">
        <v>441</v>
      </c>
      <c r="C11" s="6" t="s">
        <v>442</v>
      </c>
      <c r="D11" s="6" t="s">
        <v>625</v>
      </c>
      <c r="E11" s="6" t="s">
        <v>674</v>
      </c>
      <c r="F11" s="6" t="n">
        <v>3</v>
      </c>
      <c r="G11" s="6" t="s">
        <v>609</v>
      </c>
      <c r="H11" s="8" t="n">
        <v>44990</v>
      </c>
      <c r="I11" s="8" t="n">
        <v>46816</v>
      </c>
      <c r="J11" s="6" t="s">
        <v>706</v>
      </c>
    </row>
    <row r="12" customFormat="false" ht="15" hidden="false" customHeight="false" outlineLevel="0" collapsed="false">
      <c r="A12" s="6" t="s">
        <v>58</v>
      </c>
      <c r="B12" s="6" t="s">
        <v>446</v>
      </c>
      <c r="C12" s="6" t="s">
        <v>447</v>
      </c>
      <c r="D12" s="6" t="s">
        <v>625</v>
      </c>
      <c r="E12" s="6" t="s">
        <v>674</v>
      </c>
      <c r="F12" s="6" t="n">
        <v>3</v>
      </c>
      <c r="G12" s="6" t="s">
        <v>609</v>
      </c>
      <c r="H12" s="8" t="n">
        <v>44608</v>
      </c>
      <c r="I12" s="8" t="n">
        <v>46434</v>
      </c>
      <c r="J12" s="6" t="s">
        <v>673</v>
      </c>
    </row>
    <row r="13" customFormat="false" ht="15" hidden="false" customHeight="false" outlineLevel="0" collapsed="false">
      <c r="A13" s="6" t="s">
        <v>58</v>
      </c>
      <c r="B13" s="6" t="s">
        <v>465</v>
      </c>
      <c r="C13" s="6" t="s">
        <v>466</v>
      </c>
      <c r="D13" s="6" t="s">
        <v>625</v>
      </c>
      <c r="E13" s="6" t="s">
        <v>710</v>
      </c>
      <c r="F13" s="6" t="n">
        <v>3</v>
      </c>
      <c r="G13" s="6" t="s">
        <v>609</v>
      </c>
      <c r="H13" s="8" t="n">
        <v>44990</v>
      </c>
      <c r="I13" s="8" t="n">
        <v>46816</v>
      </c>
      <c r="J13" s="6" t="s">
        <v>709</v>
      </c>
    </row>
    <row r="14" customFormat="false" ht="15" hidden="false" customHeight="false" outlineLevel="0" collapsed="false">
      <c r="A14" s="6" t="s">
        <v>58</v>
      </c>
      <c r="B14" s="6" t="s">
        <v>470</v>
      </c>
      <c r="C14" s="6" t="s">
        <v>471</v>
      </c>
      <c r="D14" s="6" t="s">
        <v>575</v>
      </c>
      <c r="E14" s="6" t="s">
        <v>51</v>
      </c>
      <c r="F14" s="6" t="n">
        <v>0</v>
      </c>
      <c r="G14" s="6" t="s">
        <v>609</v>
      </c>
      <c r="H14" s="8" t="n">
        <v>46048</v>
      </c>
      <c r="I14" s="8" t="n">
        <v>47874</v>
      </c>
      <c r="J14" s="6" t="s">
        <v>815</v>
      </c>
    </row>
    <row r="15" customFormat="false" ht="15" hidden="false" customHeight="false" outlineLevel="0" collapsed="false">
      <c r="A15" s="6" t="s">
        <v>58</v>
      </c>
      <c r="B15" s="6" t="s">
        <v>423</v>
      </c>
      <c r="C15" s="6" t="s">
        <v>424</v>
      </c>
      <c r="D15" s="6" t="s">
        <v>575</v>
      </c>
      <c r="E15" s="6" t="s">
        <v>51</v>
      </c>
      <c r="F15" s="6" t="n">
        <v>0</v>
      </c>
      <c r="G15" s="6" t="s">
        <v>609</v>
      </c>
      <c r="H15" s="8" t="n">
        <v>45564</v>
      </c>
      <c r="I15" s="8" t="n">
        <v>47390</v>
      </c>
      <c r="J15" s="6" t="s">
        <v>772</v>
      </c>
    </row>
    <row r="16" customFormat="false" ht="15" hidden="false" customHeight="false" outlineLevel="0" collapsed="false">
      <c r="A16" s="6" t="s">
        <v>58</v>
      </c>
      <c r="B16" s="6" t="s">
        <v>427</v>
      </c>
      <c r="C16" s="6" t="s">
        <v>428</v>
      </c>
      <c r="D16" s="6" t="s">
        <v>625</v>
      </c>
      <c r="E16" s="6" t="s">
        <v>658</v>
      </c>
      <c r="F16" s="6" t="n">
        <v>4</v>
      </c>
      <c r="G16" s="6" t="s">
        <v>609</v>
      </c>
      <c r="H16" s="8" t="n">
        <v>45185</v>
      </c>
      <c r="I16" s="8" t="n">
        <v>47011</v>
      </c>
      <c r="J16" s="6" t="s">
        <v>733</v>
      </c>
    </row>
    <row r="17" customFormat="false" ht="15" hidden="false" customHeight="false" outlineLevel="0" collapsed="false">
      <c r="A17" s="6" t="s">
        <v>58</v>
      </c>
      <c r="B17" s="6" t="s">
        <v>431</v>
      </c>
      <c r="C17" s="6" t="s">
        <v>213</v>
      </c>
      <c r="D17" s="6" t="s">
        <v>602</v>
      </c>
      <c r="E17" s="6" t="s">
        <v>212</v>
      </c>
      <c r="F17" s="6" t="n">
        <v>4</v>
      </c>
      <c r="G17" s="6" t="s">
        <v>603</v>
      </c>
      <c r="H17" s="8" t="n">
        <v>46199</v>
      </c>
      <c r="I17" s="8" t="n">
        <v>48025</v>
      </c>
      <c r="J17" s="6" t="s">
        <v>838</v>
      </c>
    </row>
    <row r="18" customFormat="false" ht="15" hidden="false" customHeight="false" outlineLevel="0" collapsed="false">
      <c r="A18" s="6" t="s">
        <v>58</v>
      </c>
      <c r="B18" s="6" t="s">
        <v>432</v>
      </c>
      <c r="C18" s="6" t="s">
        <v>218</v>
      </c>
      <c r="D18" s="6" t="s">
        <v>602</v>
      </c>
      <c r="E18" s="6" t="s">
        <v>217</v>
      </c>
      <c r="F18" s="6" t="n">
        <v>4</v>
      </c>
      <c r="G18" s="6" t="s">
        <v>603</v>
      </c>
      <c r="H18" s="8" t="n">
        <v>44752</v>
      </c>
      <c r="I18" s="8" t="n">
        <v>46578</v>
      </c>
      <c r="J18" s="6" t="s">
        <v>693</v>
      </c>
    </row>
    <row r="19" customFormat="false" ht="15" hidden="false" customHeight="false" outlineLevel="0" collapsed="false">
      <c r="A19" s="6" t="s">
        <v>58</v>
      </c>
      <c r="B19" s="6" t="s">
        <v>436</v>
      </c>
      <c r="C19" s="6" t="s">
        <v>226</v>
      </c>
      <c r="D19" s="6" t="s">
        <v>602</v>
      </c>
      <c r="E19" s="6" t="s">
        <v>225</v>
      </c>
      <c r="F19" s="6" t="n">
        <v>3</v>
      </c>
      <c r="G19" s="6" t="s">
        <v>603</v>
      </c>
      <c r="H19" s="8" t="n">
        <v>46147</v>
      </c>
      <c r="I19" s="8" t="n">
        <v>47973</v>
      </c>
      <c r="J19" s="6" t="s">
        <v>831</v>
      </c>
    </row>
    <row r="20" customFormat="false" ht="15" hidden="false" customHeight="false" outlineLevel="0" collapsed="false">
      <c r="A20" s="6" t="s">
        <v>58</v>
      </c>
      <c r="B20" s="6" t="s">
        <v>452</v>
      </c>
      <c r="C20" s="6" t="s">
        <v>453</v>
      </c>
      <c r="D20" s="6" t="s">
        <v>602</v>
      </c>
      <c r="E20" s="6" t="s">
        <v>142</v>
      </c>
      <c r="F20" s="6" t="n">
        <v>3</v>
      </c>
      <c r="G20" s="6" t="s">
        <v>603</v>
      </c>
      <c r="H20" s="8" t="n">
        <v>46123</v>
      </c>
      <c r="I20" s="8" t="n">
        <v>47949</v>
      </c>
      <c r="J20" s="6" t="s">
        <v>828</v>
      </c>
    </row>
    <row r="21" customFormat="false" ht="15" hidden="false" customHeight="false" outlineLevel="0" collapsed="false">
      <c r="A21" s="6" t="s">
        <v>58</v>
      </c>
      <c r="B21" s="6" t="s">
        <v>454</v>
      </c>
      <c r="C21" s="6" t="s">
        <v>455</v>
      </c>
      <c r="D21" s="6" t="s">
        <v>625</v>
      </c>
      <c r="E21" s="6" t="s">
        <v>635</v>
      </c>
      <c r="F21" s="6" t="n">
        <v>3</v>
      </c>
      <c r="G21" s="6" t="s">
        <v>609</v>
      </c>
      <c r="H21" s="8" t="n">
        <v>44432</v>
      </c>
      <c r="I21" s="8" t="n">
        <v>46258</v>
      </c>
      <c r="J21" s="6" t="s">
        <v>634</v>
      </c>
    </row>
    <row r="22" customFormat="false" ht="15" hidden="false" customHeight="false" outlineLevel="0" collapsed="false">
      <c r="A22" s="6" t="s">
        <v>58</v>
      </c>
      <c r="B22" s="6" t="s">
        <v>437</v>
      </c>
      <c r="C22" s="6" t="s">
        <v>438</v>
      </c>
      <c r="D22" s="6" t="s">
        <v>625</v>
      </c>
      <c r="E22" s="6" t="s">
        <v>658</v>
      </c>
      <c r="F22" s="6" t="n">
        <v>3</v>
      </c>
      <c r="G22" s="6" t="s">
        <v>609</v>
      </c>
      <c r="H22" s="8" t="n">
        <v>46148</v>
      </c>
      <c r="I22" s="8" t="n">
        <v>47974</v>
      </c>
      <c r="J22" s="6" t="s">
        <v>833</v>
      </c>
    </row>
    <row r="23" customFormat="false" ht="15" hidden="false" customHeight="false" outlineLevel="0" collapsed="false">
      <c r="A23" s="6" t="s">
        <v>57</v>
      </c>
      <c r="B23" s="6" t="s">
        <v>387</v>
      </c>
      <c r="C23" s="6" t="s">
        <v>388</v>
      </c>
      <c r="D23" s="6" t="s">
        <v>602</v>
      </c>
      <c r="E23" s="6" t="s">
        <v>179</v>
      </c>
      <c r="F23" s="6" t="n">
        <v>4</v>
      </c>
      <c r="G23" s="6" t="s">
        <v>603</v>
      </c>
      <c r="H23" s="8" t="n">
        <v>44448</v>
      </c>
      <c r="I23" s="8" t="n">
        <v>46274</v>
      </c>
      <c r="J23" s="6" t="s">
        <v>640</v>
      </c>
    </row>
    <row r="24" customFormat="false" ht="15" hidden="false" customHeight="false" outlineLevel="0" collapsed="false">
      <c r="A24" s="6" t="s">
        <v>57</v>
      </c>
      <c r="B24" s="6" t="s">
        <v>389</v>
      </c>
      <c r="C24" s="6" t="s">
        <v>390</v>
      </c>
      <c r="D24" s="6" t="s">
        <v>602</v>
      </c>
      <c r="E24" s="6" t="s">
        <v>184</v>
      </c>
      <c r="F24" s="6" t="n">
        <v>4</v>
      </c>
      <c r="G24" s="6" t="s">
        <v>603</v>
      </c>
      <c r="H24" s="8" t="n">
        <v>44533</v>
      </c>
      <c r="I24" s="8" t="n">
        <v>46359</v>
      </c>
      <c r="J24" s="6" t="s">
        <v>660</v>
      </c>
    </row>
    <row r="25" customFormat="false" ht="15" hidden="false" customHeight="false" outlineLevel="0" collapsed="false">
      <c r="A25" s="6" t="s">
        <v>57</v>
      </c>
      <c r="B25" s="6" t="s">
        <v>391</v>
      </c>
      <c r="C25" s="6" t="s">
        <v>392</v>
      </c>
      <c r="D25" s="6" t="s">
        <v>602</v>
      </c>
      <c r="E25" s="6" t="s">
        <v>188</v>
      </c>
      <c r="F25" s="6" t="n">
        <v>4</v>
      </c>
      <c r="G25" s="6" t="s">
        <v>603</v>
      </c>
      <c r="H25" s="8" t="n">
        <v>46201</v>
      </c>
      <c r="I25" s="8" t="n">
        <v>48027</v>
      </c>
      <c r="J25" s="6" t="s">
        <v>840</v>
      </c>
    </row>
    <row r="26" customFormat="false" ht="15" hidden="false" customHeight="false" outlineLevel="0" collapsed="false">
      <c r="A26" s="6" t="s">
        <v>57</v>
      </c>
      <c r="B26" s="6" t="s">
        <v>395</v>
      </c>
      <c r="C26" s="6" t="s">
        <v>193</v>
      </c>
      <c r="D26" s="6" t="s">
        <v>602</v>
      </c>
      <c r="E26" s="6" t="s">
        <v>192</v>
      </c>
      <c r="F26" s="6" t="n">
        <v>4</v>
      </c>
      <c r="G26" s="6" t="s">
        <v>603</v>
      </c>
      <c r="H26" s="8" t="n">
        <v>44726</v>
      </c>
      <c r="I26" s="8" t="n">
        <v>46552</v>
      </c>
      <c r="J26" s="6" t="s">
        <v>691</v>
      </c>
    </row>
    <row r="27" customFormat="false" ht="15" hidden="false" customHeight="false" outlineLevel="0" collapsed="false">
      <c r="A27" s="6" t="s">
        <v>57</v>
      </c>
      <c r="B27" s="6" t="s">
        <v>396</v>
      </c>
      <c r="C27" s="6" t="s">
        <v>397</v>
      </c>
      <c r="D27" s="6" t="s">
        <v>602</v>
      </c>
      <c r="E27" s="6" t="s">
        <v>196</v>
      </c>
      <c r="F27" s="6" t="n">
        <v>5</v>
      </c>
      <c r="G27" s="6" t="s">
        <v>603</v>
      </c>
      <c r="H27" s="8" t="n">
        <v>46157</v>
      </c>
      <c r="I27" s="8" t="n">
        <v>47983</v>
      </c>
      <c r="J27" s="6" t="s">
        <v>835</v>
      </c>
    </row>
    <row r="28" customFormat="false" ht="15" hidden="false" customHeight="false" outlineLevel="0" collapsed="false">
      <c r="A28" s="6" t="s">
        <v>57</v>
      </c>
      <c r="B28" s="6" t="s">
        <v>398</v>
      </c>
      <c r="C28" s="6" t="s">
        <v>399</v>
      </c>
      <c r="D28" s="6" t="s">
        <v>602</v>
      </c>
      <c r="E28" s="6" t="s">
        <v>200</v>
      </c>
      <c r="F28" s="6" t="n">
        <v>5</v>
      </c>
      <c r="G28" s="6" t="s">
        <v>603</v>
      </c>
      <c r="H28" s="8" t="n">
        <v>45296</v>
      </c>
      <c r="I28" s="8" t="n">
        <v>47122</v>
      </c>
      <c r="J28" s="6" t="s">
        <v>751</v>
      </c>
    </row>
    <row r="29" customFormat="false" ht="15" hidden="false" customHeight="false" outlineLevel="0" collapsed="false">
      <c r="A29" s="6" t="s">
        <v>57</v>
      </c>
      <c r="B29" s="6" t="s">
        <v>400</v>
      </c>
      <c r="C29" s="6" t="s">
        <v>401</v>
      </c>
      <c r="D29" s="6" t="s">
        <v>602</v>
      </c>
      <c r="E29" s="6" t="s">
        <v>204</v>
      </c>
      <c r="F29" s="6" t="n">
        <v>5</v>
      </c>
      <c r="G29" s="6" t="s">
        <v>603</v>
      </c>
      <c r="H29" s="8" t="n">
        <v>45944</v>
      </c>
      <c r="I29" s="8" t="n">
        <v>47770</v>
      </c>
      <c r="J29" s="6" t="s">
        <v>805</v>
      </c>
    </row>
    <row r="30" customFormat="false" ht="15" hidden="false" customHeight="false" outlineLevel="0" collapsed="false">
      <c r="A30" s="6" t="s">
        <v>57</v>
      </c>
      <c r="B30" s="6" t="s">
        <v>402</v>
      </c>
      <c r="C30" s="6" t="s">
        <v>403</v>
      </c>
      <c r="D30" s="6" t="s">
        <v>602</v>
      </c>
      <c r="E30" s="6" t="s">
        <v>208</v>
      </c>
      <c r="F30" s="6" t="n">
        <v>5</v>
      </c>
      <c r="G30" s="6" t="s">
        <v>603</v>
      </c>
      <c r="H30" s="8" t="n">
        <v>45034</v>
      </c>
      <c r="I30" s="8" t="n">
        <v>46860</v>
      </c>
      <c r="J30" s="6" t="s">
        <v>718</v>
      </c>
    </row>
    <row r="31" customFormat="false" ht="15" hidden="false" customHeight="false" outlineLevel="0" collapsed="false">
      <c r="A31" s="6" t="s">
        <v>57</v>
      </c>
      <c r="B31" s="6" t="s">
        <v>341</v>
      </c>
      <c r="C31" s="6" t="s">
        <v>342</v>
      </c>
      <c r="D31" s="6" t="s">
        <v>602</v>
      </c>
      <c r="E31" s="6" t="s">
        <v>71</v>
      </c>
      <c r="F31" s="6" t="n">
        <v>4</v>
      </c>
      <c r="G31" s="6" t="s">
        <v>603</v>
      </c>
      <c r="H31" s="8" t="n">
        <v>45287</v>
      </c>
      <c r="I31" s="8" t="n">
        <v>47113</v>
      </c>
      <c r="J31" s="6" t="s">
        <v>745</v>
      </c>
    </row>
    <row r="32" customFormat="false" ht="15" hidden="false" customHeight="false" outlineLevel="0" collapsed="false">
      <c r="A32" s="6" t="s">
        <v>57</v>
      </c>
      <c r="B32" s="6" t="s">
        <v>343</v>
      </c>
      <c r="C32" s="6" t="s">
        <v>344</v>
      </c>
      <c r="D32" s="6" t="s">
        <v>602</v>
      </c>
      <c r="E32" s="6" t="s">
        <v>77</v>
      </c>
      <c r="F32" s="6" t="n">
        <v>4</v>
      </c>
      <c r="G32" s="6" t="s">
        <v>603</v>
      </c>
      <c r="H32" s="8" t="n">
        <v>45965</v>
      </c>
      <c r="I32" s="8" t="n">
        <v>47791</v>
      </c>
      <c r="J32" s="6" t="s">
        <v>808</v>
      </c>
    </row>
    <row r="33" customFormat="false" ht="15" hidden="false" customHeight="false" outlineLevel="0" collapsed="false">
      <c r="A33" s="6" t="s">
        <v>57</v>
      </c>
      <c r="B33" s="6" t="s">
        <v>345</v>
      </c>
      <c r="C33" s="6" t="s">
        <v>346</v>
      </c>
      <c r="D33" s="6" t="s">
        <v>602</v>
      </c>
      <c r="E33" s="6" t="s">
        <v>85</v>
      </c>
      <c r="F33" s="6" t="n">
        <v>4</v>
      </c>
      <c r="G33" s="6" t="s">
        <v>603</v>
      </c>
      <c r="H33" s="8" t="n">
        <v>45693</v>
      </c>
      <c r="I33" s="8" t="n">
        <v>47519</v>
      </c>
      <c r="J33" s="6" t="s">
        <v>785</v>
      </c>
    </row>
    <row r="34" customFormat="false" ht="15" hidden="false" customHeight="false" outlineLevel="0" collapsed="false">
      <c r="A34" s="6" t="s">
        <v>57</v>
      </c>
      <c r="B34" s="6" t="s">
        <v>347</v>
      </c>
      <c r="C34" s="6" t="s">
        <v>348</v>
      </c>
      <c r="D34" s="6" t="s">
        <v>625</v>
      </c>
      <c r="E34" s="6" t="s">
        <v>626</v>
      </c>
      <c r="F34" s="6" t="n">
        <v>4</v>
      </c>
      <c r="G34" s="6" t="s">
        <v>609</v>
      </c>
      <c r="H34" s="8" t="n">
        <v>44777</v>
      </c>
      <c r="I34" s="8" t="n">
        <v>46603</v>
      </c>
      <c r="J34" s="6" t="s">
        <v>695</v>
      </c>
    </row>
    <row r="35" customFormat="false" ht="15" hidden="false" customHeight="false" outlineLevel="0" collapsed="false">
      <c r="A35" s="6" t="s">
        <v>57</v>
      </c>
      <c r="B35" s="6" t="s">
        <v>351</v>
      </c>
      <c r="C35" s="6" t="s">
        <v>352</v>
      </c>
      <c r="D35" s="6" t="s">
        <v>602</v>
      </c>
      <c r="E35" s="6" t="s">
        <v>89</v>
      </c>
      <c r="F35" s="6" t="n">
        <v>4</v>
      </c>
      <c r="G35" s="6" t="s">
        <v>603</v>
      </c>
      <c r="H35" s="8" t="n">
        <v>44583</v>
      </c>
      <c r="I35" s="8" t="n">
        <v>46409</v>
      </c>
      <c r="J35" s="6" t="s">
        <v>665</v>
      </c>
    </row>
    <row r="36" customFormat="false" ht="15" hidden="false" customHeight="false" outlineLevel="0" collapsed="false">
      <c r="A36" s="6" t="s">
        <v>57</v>
      </c>
      <c r="B36" s="6" t="s">
        <v>353</v>
      </c>
      <c r="C36" s="6" t="s">
        <v>261</v>
      </c>
      <c r="D36" s="6" t="s">
        <v>625</v>
      </c>
      <c r="E36" s="6" t="s">
        <v>626</v>
      </c>
      <c r="F36" s="6" t="n">
        <v>4</v>
      </c>
      <c r="G36" s="6" t="s">
        <v>609</v>
      </c>
      <c r="H36" s="8" t="n">
        <v>44660</v>
      </c>
      <c r="I36" s="8" t="n">
        <v>46486</v>
      </c>
      <c r="J36" s="6" t="s">
        <v>687</v>
      </c>
    </row>
    <row r="37" customFormat="false" ht="15" hidden="false" customHeight="false" outlineLevel="0" collapsed="false">
      <c r="A37" s="6" t="s">
        <v>57</v>
      </c>
      <c r="B37" s="6" t="s">
        <v>357</v>
      </c>
      <c r="C37" s="6" t="s">
        <v>358</v>
      </c>
      <c r="D37" s="6" t="s">
        <v>602</v>
      </c>
      <c r="E37" s="6" t="s">
        <v>122</v>
      </c>
      <c r="F37" s="6" t="n">
        <v>4</v>
      </c>
      <c r="G37" s="6" t="s">
        <v>603</v>
      </c>
      <c r="H37" s="8" t="n">
        <v>46128</v>
      </c>
      <c r="I37" s="8" t="n">
        <v>47954</v>
      </c>
      <c r="J37" s="6" t="s">
        <v>830</v>
      </c>
    </row>
    <row r="38" customFormat="false" ht="15" hidden="false" customHeight="false" outlineLevel="0" collapsed="false">
      <c r="A38" s="6" t="s">
        <v>57</v>
      </c>
      <c r="B38" s="6" t="s">
        <v>359</v>
      </c>
      <c r="C38" s="6" t="s">
        <v>360</v>
      </c>
      <c r="D38" s="6" t="s">
        <v>602</v>
      </c>
      <c r="E38" s="6" t="s">
        <v>126</v>
      </c>
      <c r="F38" s="6" t="n">
        <v>4</v>
      </c>
      <c r="G38" s="6" t="s">
        <v>603</v>
      </c>
      <c r="H38" s="8" t="n">
        <v>44258</v>
      </c>
      <c r="I38" s="8" t="n">
        <v>46084</v>
      </c>
      <c r="J38" s="6" t="s">
        <v>612</v>
      </c>
    </row>
    <row r="39" customFormat="false" ht="15" hidden="false" customHeight="false" outlineLevel="0" collapsed="false">
      <c r="A39" s="6" t="s">
        <v>57</v>
      </c>
      <c r="B39" s="6" t="s">
        <v>361</v>
      </c>
      <c r="C39" s="6" t="s">
        <v>362</v>
      </c>
      <c r="D39" s="6" t="s">
        <v>602</v>
      </c>
      <c r="E39" s="6" t="s">
        <v>130</v>
      </c>
      <c r="F39" s="6" t="n">
        <v>4</v>
      </c>
      <c r="G39" s="6" t="s">
        <v>603</v>
      </c>
      <c r="H39" s="8" t="n">
        <v>44680</v>
      </c>
      <c r="I39" s="8" t="n">
        <v>46506</v>
      </c>
      <c r="J39" s="6" t="s">
        <v>688</v>
      </c>
    </row>
    <row r="40" customFormat="false" ht="15" hidden="false" customHeight="false" outlineLevel="0" collapsed="false">
      <c r="A40" s="6" t="s">
        <v>57</v>
      </c>
      <c r="B40" s="6" t="s">
        <v>363</v>
      </c>
      <c r="C40" s="6" t="s">
        <v>364</v>
      </c>
      <c r="D40" s="6" t="s">
        <v>602</v>
      </c>
      <c r="E40" s="6" t="s">
        <v>134</v>
      </c>
      <c r="F40" s="6" t="n">
        <v>4</v>
      </c>
      <c r="G40" s="6" t="s">
        <v>603</v>
      </c>
      <c r="H40" s="8" t="n">
        <v>45303</v>
      </c>
      <c r="I40" s="8" t="n">
        <v>47129</v>
      </c>
      <c r="J40" s="6" t="s">
        <v>756</v>
      </c>
    </row>
    <row r="41" customFormat="false" ht="15" hidden="false" customHeight="false" outlineLevel="0" collapsed="false">
      <c r="A41" s="6" t="s">
        <v>57</v>
      </c>
      <c r="B41" s="6" t="s">
        <v>355</v>
      </c>
      <c r="C41" s="6" t="s">
        <v>356</v>
      </c>
      <c r="D41" s="6" t="s">
        <v>602</v>
      </c>
      <c r="E41" s="6" t="s">
        <v>117</v>
      </c>
      <c r="F41" s="6" t="n">
        <v>4</v>
      </c>
      <c r="G41" s="6" t="s">
        <v>603</v>
      </c>
      <c r="H41" s="8" t="n">
        <v>44471</v>
      </c>
      <c r="I41" s="8" t="n">
        <v>46297</v>
      </c>
      <c r="J41" s="6" t="s">
        <v>649</v>
      </c>
    </row>
    <row r="42" customFormat="false" ht="15" hidden="false" customHeight="false" outlineLevel="0" collapsed="false">
      <c r="A42" s="6" t="s">
        <v>57</v>
      </c>
      <c r="B42" s="6" t="s">
        <v>365</v>
      </c>
      <c r="C42" s="6" t="s">
        <v>366</v>
      </c>
      <c r="D42" s="6" t="s">
        <v>602</v>
      </c>
      <c r="E42" s="6" t="s">
        <v>138</v>
      </c>
      <c r="F42" s="6" t="n">
        <v>4</v>
      </c>
      <c r="G42" s="6" t="s">
        <v>603</v>
      </c>
      <c r="H42" s="8" t="n">
        <v>45604</v>
      </c>
      <c r="I42" s="8" t="n">
        <v>47430</v>
      </c>
      <c r="J42" s="6" t="s">
        <v>779</v>
      </c>
    </row>
    <row r="43" customFormat="false" ht="15" hidden="false" customHeight="false" outlineLevel="0" collapsed="false">
      <c r="A43" s="6" t="s">
        <v>57</v>
      </c>
      <c r="B43" s="6" t="s">
        <v>354</v>
      </c>
      <c r="C43" s="6" t="s">
        <v>234</v>
      </c>
      <c r="D43" s="6" t="s">
        <v>602</v>
      </c>
      <c r="E43" s="6" t="s">
        <v>81</v>
      </c>
      <c r="F43" s="6" t="n">
        <v>4</v>
      </c>
      <c r="G43" s="6" t="s">
        <v>603</v>
      </c>
      <c r="H43" s="8" t="n">
        <v>44866</v>
      </c>
      <c r="I43" s="8" t="n">
        <v>46692</v>
      </c>
      <c r="J43" s="6" t="s">
        <v>698</v>
      </c>
    </row>
    <row r="44" customFormat="false" ht="15" hidden="false" customHeight="false" outlineLevel="0" collapsed="false">
      <c r="A44" s="6" t="s">
        <v>57</v>
      </c>
      <c r="B44" s="6" t="s">
        <v>404</v>
      </c>
      <c r="C44" s="6" t="s">
        <v>213</v>
      </c>
      <c r="D44" s="6" t="s">
        <v>602</v>
      </c>
      <c r="E44" s="6" t="s">
        <v>212</v>
      </c>
      <c r="F44" s="6" t="n">
        <v>4</v>
      </c>
      <c r="G44" s="6" t="s">
        <v>603</v>
      </c>
      <c r="H44" s="8" t="n">
        <v>45845</v>
      </c>
      <c r="I44" s="8" t="n">
        <v>47671</v>
      </c>
      <c r="J44" s="6" t="s">
        <v>794</v>
      </c>
    </row>
    <row r="45" customFormat="false" ht="15" hidden="false" customHeight="false" outlineLevel="0" collapsed="false">
      <c r="A45" s="6" t="s">
        <v>57</v>
      </c>
      <c r="B45" s="6" t="s">
        <v>405</v>
      </c>
      <c r="C45" s="6" t="s">
        <v>218</v>
      </c>
      <c r="D45" s="6" t="s">
        <v>602</v>
      </c>
      <c r="E45" s="6" t="s">
        <v>217</v>
      </c>
      <c r="F45" s="6" t="n">
        <v>4</v>
      </c>
      <c r="G45" s="6" t="s">
        <v>603</v>
      </c>
      <c r="H45" s="8" t="n">
        <v>45740</v>
      </c>
      <c r="I45" s="8" t="n">
        <v>47566</v>
      </c>
      <c r="J45" s="6" t="s">
        <v>789</v>
      </c>
    </row>
    <row r="46" customFormat="false" ht="15" hidden="false" customHeight="false" outlineLevel="0" collapsed="false">
      <c r="A46" s="6" t="s">
        <v>57</v>
      </c>
      <c r="B46" s="6" t="s">
        <v>406</v>
      </c>
      <c r="C46" s="6" t="s">
        <v>407</v>
      </c>
      <c r="D46" s="6" t="s">
        <v>602</v>
      </c>
      <c r="E46" s="6" t="s">
        <v>221</v>
      </c>
      <c r="F46" s="6" t="n">
        <v>4</v>
      </c>
      <c r="G46" s="6" t="s">
        <v>603</v>
      </c>
      <c r="H46" s="8" t="n">
        <v>46060</v>
      </c>
      <c r="I46" s="8" t="n">
        <v>47886</v>
      </c>
      <c r="J46" s="6" t="s">
        <v>820</v>
      </c>
    </row>
    <row r="47" customFormat="false" ht="15" hidden="false" customHeight="false" outlineLevel="0" collapsed="false">
      <c r="A47" s="6" t="s">
        <v>57</v>
      </c>
      <c r="B47" s="6" t="s">
        <v>408</v>
      </c>
      <c r="C47" s="6" t="s">
        <v>226</v>
      </c>
      <c r="D47" s="6" t="s">
        <v>602</v>
      </c>
      <c r="E47" s="6" t="s">
        <v>225</v>
      </c>
      <c r="F47" s="6" t="n">
        <v>4</v>
      </c>
      <c r="G47" s="6" t="s">
        <v>603</v>
      </c>
      <c r="H47" s="8" t="n">
        <v>45226</v>
      </c>
      <c r="I47" s="8" t="n">
        <v>47052</v>
      </c>
      <c r="J47" s="6" t="s">
        <v>737</v>
      </c>
    </row>
    <row r="48" customFormat="false" ht="15" hidden="false" customHeight="false" outlineLevel="0" collapsed="false">
      <c r="A48" s="6" t="s">
        <v>57</v>
      </c>
      <c r="B48" s="6" t="s">
        <v>411</v>
      </c>
      <c r="C48" s="6" t="s">
        <v>412</v>
      </c>
      <c r="D48" s="6" t="s">
        <v>602</v>
      </c>
      <c r="E48" s="6" t="s">
        <v>237</v>
      </c>
      <c r="F48" s="6" t="n">
        <v>4</v>
      </c>
      <c r="G48" s="6" t="s">
        <v>603</v>
      </c>
      <c r="H48" s="8" t="n">
        <v>45153</v>
      </c>
      <c r="I48" s="8" t="n">
        <v>46979</v>
      </c>
      <c r="J48" s="6" t="s">
        <v>728</v>
      </c>
    </row>
    <row r="49" customFormat="false" ht="15" hidden="false" customHeight="false" outlineLevel="0" collapsed="false">
      <c r="A49" s="6" t="s">
        <v>57</v>
      </c>
      <c r="B49" s="6" t="s">
        <v>413</v>
      </c>
      <c r="C49" s="6" t="s">
        <v>414</v>
      </c>
      <c r="D49" s="6" t="s">
        <v>625</v>
      </c>
      <c r="E49" s="6" t="s">
        <v>658</v>
      </c>
      <c r="F49" s="6" t="n">
        <v>4</v>
      </c>
      <c r="G49" s="6" t="s">
        <v>609</v>
      </c>
      <c r="H49" s="8" t="n">
        <v>44501</v>
      </c>
      <c r="I49" s="8" t="n">
        <v>46327</v>
      </c>
      <c r="J49" s="6" t="s">
        <v>657</v>
      </c>
    </row>
    <row r="50" customFormat="false" ht="15" hidden="false" customHeight="false" outlineLevel="0" collapsed="false">
      <c r="A50" s="6" t="s">
        <v>57</v>
      </c>
      <c r="B50" s="6" t="s">
        <v>409</v>
      </c>
      <c r="C50" s="6" t="s">
        <v>410</v>
      </c>
      <c r="D50" s="6" t="s">
        <v>602</v>
      </c>
      <c r="E50" s="6" t="s">
        <v>229</v>
      </c>
      <c r="F50" s="6" t="n">
        <v>4</v>
      </c>
      <c r="G50" s="6" t="s">
        <v>603</v>
      </c>
      <c r="H50" s="8" t="n">
        <v>45595</v>
      </c>
      <c r="I50" s="8" t="n">
        <v>47421</v>
      </c>
      <c r="J50" s="6" t="s">
        <v>774</v>
      </c>
    </row>
    <row r="51" customFormat="false" ht="15" hidden="false" customHeight="false" outlineLevel="0" collapsed="false">
      <c r="A51" s="6" t="s">
        <v>57</v>
      </c>
      <c r="B51" s="6" t="s">
        <v>367</v>
      </c>
      <c r="C51" s="6" t="s">
        <v>368</v>
      </c>
      <c r="D51" s="6" t="s">
        <v>602</v>
      </c>
      <c r="E51" s="6" t="s">
        <v>142</v>
      </c>
      <c r="F51" s="6" t="n">
        <v>4</v>
      </c>
      <c r="G51" s="6" t="s">
        <v>603</v>
      </c>
      <c r="H51" s="8" t="n">
        <v>45991</v>
      </c>
      <c r="I51" s="8" t="n">
        <v>47817</v>
      </c>
      <c r="J51" s="6" t="s">
        <v>812</v>
      </c>
    </row>
    <row r="52" customFormat="false" ht="15" hidden="false" customHeight="false" outlineLevel="0" collapsed="false">
      <c r="A52" s="6" t="s">
        <v>57</v>
      </c>
      <c r="B52" s="6" t="s">
        <v>369</v>
      </c>
      <c r="C52" s="6" t="s">
        <v>370</v>
      </c>
      <c r="D52" s="6" t="s">
        <v>625</v>
      </c>
      <c r="E52" s="6" t="s">
        <v>635</v>
      </c>
      <c r="F52" s="6" t="n">
        <v>4</v>
      </c>
      <c r="G52" s="6" t="s">
        <v>609</v>
      </c>
      <c r="H52" s="8" t="n">
        <v>46069</v>
      </c>
      <c r="I52" s="8" t="n">
        <v>47895</v>
      </c>
      <c r="J52" s="6" t="s">
        <v>821</v>
      </c>
    </row>
    <row r="53" customFormat="false" ht="15" hidden="false" customHeight="false" outlineLevel="0" collapsed="false">
      <c r="A53" s="6" t="s">
        <v>57</v>
      </c>
      <c r="B53" s="6" t="s">
        <v>371</v>
      </c>
      <c r="C53" s="6" t="s">
        <v>372</v>
      </c>
      <c r="D53" s="6" t="s">
        <v>625</v>
      </c>
      <c r="E53" s="6" t="s">
        <v>635</v>
      </c>
      <c r="F53" s="6" t="n">
        <v>4</v>
      </c>
      <c r="G53" s="6" t="s">
        <v>609</v>
      </c>
      <c r="H53" s="8" t="n">
        <v>45289</v>
      </c>
      <c r="I53" s="8" t="n">
        <v>47115</v>
      </c>
      <c r="J53" s="6" t="s">
        <v>746</v>
      </c>
    </row>
    <row r="54" customFormat="false" ht="15" hidden="false" customHeight="false" outlineLevel="0" collapsed="false">
      <c r="A54" s="6" t="s">
        <v>57</v>
      </c>
      <c r="B54" s="6" t="s">
        <v>373</v>
      </c>
      <c r="C54" s="6" t="s">
        <v>374</v>
      </c>
      <c r="D54" s="6" t="s">
        <v>602</v>
      </c>
      <c r="E54" s="6" t="s">
        <v>155</v>
      </c>
      <c r="F54" s="6" t="n">
        <v>4</v>
      </c>
      <c r="G54" s="6" t="s">
        <v>603</v>
      </c>
      <c r="H54" s="8" t="n">
        <v>44646</v>
      </c>
      <c r="I54" s="8" t="n">
        <v>46472</v>
      </c>
      <c r="J54" s="6" t="s">
        <v>685</v>
      </c>
    </row>
    <row r="55" customFormat="false" ht="15" hidden="false" customHeight="false" outlineLevel="0" collapsed="false">
      <c r="A55" s="6" t="s">
        <v>57</v>
      </c>
      <c r="B55" s="6" t="s">
        <v>379</v>
      </c>
      <c r="C55" s="6" t="s">
        <v>380</v>
      </c>
      <c r="D55" s="6" t="s">
        <v>602</v>
      </c>
      <c r="E55" s="6" t="s">
        <v>159</v>
      </c>
      <c r="F55" s="6" t="n">
        <v>4</v>
      </c>
      <c r="G55" s="6" t="s">
        <v>603</v>
      </c>
      <c r="H55" s="8" t="n">
        <v>45025</v>
      </c>
      <c r="I55" s="8" t="n">
        <v>46851</v>
      </c>
      <c r="J55" s="6" t="s">
        <v>716</v>
      </c>
    </row>
    <row r="56" customFormat="false" ht="15" hidden="false" customHeight="false" outlineLevel="0" collapsed="false">
      <c r="A56" s="6" t="s">
        <v>57</v>
      </c>
      <c r="B56" s="6" t="s">
        <v>381</v>
      </c>
      <c r="C56" s="6" t="s">
        <v>382</v>
      </c>
      <c r="D56" s="6" t="s">
        <v>602</v>
      </c>
      <c r="E56" s="6" t="s">
        <v>167</v>
      </c>
      <c r="F56" s="6" t="n">
        <v>4</v>
      </c>
      <c r="G56" s="6" t="s">
        <v>603</v>
      </c>
      <c r="H56" s="8" t="n">
        <v>44872</v>
      </c>
      <c r="I56" s="8" t="n">
        <v>46698</v>
      </c>
      <c r="J56" s="6" t="s">
        <v>700</v>
      </c>
    </row>
    <row r="57" customFormat="false" ht="15" hidden="false" customHeight="false" outlineLevel="0" collapsed="false">
      <c r="A57" s="6" t="s">
        <v>57</v>
      </c>
      <c r="B57" s="6" t="s">
        <v>383</v>
      </c>
      <c r="C57" s="6" t="s">
        <v>172</v>
      </c>
      <c r="D57" s="6" t="s">
        <v>602</v>
      </c>
      <c r="E57" s="6" t="s">
        <v>171</v>
      </c>
      <c r="F57" s="6" t="n">
        <v>4</v>
      </c>
      <c r="G57" s="6" t="s">
        <v>603</v>
      </c>
      <c r="H57" s="8" t="n">
        <v>44213</v>
      </c>
      <c r="I57" s="8" t="n">
        <v>46039</v>
      </c>
      <c r="J57" s="6" t="s">
        <v>601</v>
      </c>
    </row>
    <row r="58" customFormat="false" ht="15" hidden="false" customHeight="false" outlineLevel="0" collapsed="false">
      <c r="A58" s="6" t="s">
        <v>57</v>
      </c>
      <c r="B58" s="6" t="s">
        <v>384</v>
      </c>
      <c r="C58" s="6" t="s">
        <v>164</v>
      </c>
      <c r="D58" s="6" t="s">
        <v>602</v>
      </c>
      <c r="E58" s="6" t="s">
        <v>163</v>
      </c>
      <c r="F58" s="6" t="n">
        <v>4</v>
      </c>
      <c r="G58" s="6" t="s">
        <v>603</v>
      </c>
      <c r="H58" s="8" t="n">
        <v>46212</v>
      </c>
      <c r="I58" s="8" t="n">
        <v>48038</v>
      </c>
      <c r="J58" s="6" t="s">
        <v>842</v>
      </c>
    </row>
    <row r="59" customFormat="false" ht="15" hidden="false" customHeight="false" outlineLevel="0" collapsed="false">
      <c r="A59" s="6" t="s">
        <v>57</v>
      </c>
      <c r="B59" s="6" t="s">
        <v>385</v>
      </c>
      <c r="C59" s="6" t="s">
        <v>386</v>
      </c>
      <c r="D59" s="6" t="s">
        <v>602</v>
      </c>
      <c r="E59" s="6" t="s">
        <v>175</v>
      </c>
      <c r="F59" s="6" t="n">
        <v>4</v>
      </c>
      <c r="G59" s="6" t="s">
        <v>603</v>
      </c>
      <c r="H59" s="8" t="n">
        <v>45697</v>
      </c>
      <c r="I59" s="8" t="n">
        <v>47523</v>
      </c>
      <c r="J59" s="6" t="s">
        <v>786</v>
      </c>
    </row>
    <row r="60" customFormat="false" ht="15" hidden="false" customHeight="false" outlineLevel="0" collapsed="false">
      <c r="A60" s="6" t="s">
        <v>53</v>
      </c>
      <c r="B60" s="6" t="s">
        <v>300</v>
      </c>
      <c r="C60" s="6" t="s">
        <v>301</v>
      </c>
      <c r="D60" s="6" t="s">
        <v>602</v>
      </c>
      <c r="E60" s="6" t="s">
        <v>179</v>
      </c>
      <c r="F60" s="6" t="n">
        <v>5</v>
      </c>
      <c r="G60" s="6" t="s">
        <v>603</v>
      </c>
      <c r="H60" s="8" t="n">
        <v>45349</v>
      </c>
      <c r="I60" s="8" t="n">
        <v>47175</v>
      </c>
      <c r="J60" s="6" t="s">
        <v>759</v>
      </c>
    </row>
    <row r="61" customFormat="false" ht="15" hidden="false" customHeight="false" outlineLevel="0" collapsed="false">
      <c r="A61" s="6" t="s">
        <v>53</v>
      </c>
      <c r="B61" s="6" t="s">
        <v>302</v>
      </c>
      <c r="C61" s="6" t="s">
        <v>303</v>
      </c>
      <c r="D61" s="6" t="s">
        <v>602</v>
      </c>
      <c r="E61" s="6" t="s">
        <v>184</v>
      </c>
      <c r="F61" s="6" t="n">
        <v>4</v>
      </c>
      <c r="G61" s="6" t="s">
        <v>603</v>
      </c>
      <c r="H61" s="8" t="n">
        <v>45705</v>
      </c>
      <c r="I61" s="8" t="n">
        <v>47531</v>
      </c>
      <c r="J61" s="6" t="s">
        <v>788</v>
      </c>
    </row>
    <row r="62" customFormat="false" ht="15" hidden="false" customHeight="false" outlineLevel="0" collapsed="false">
      <c r="A62" s="6" t="s">
        <v>53</v>
      </c>
      <c r="B62" s="6" t="s">
        <v>304</v>
      </c>
      <c r="C62" s="6" t="s">
        <v>305</v>
      </c>
      <c r="D62" s="6" t="s">
        <v>625</v>
      </c>
      <c r="E62" s="6" t="s">
        <v>705</v>
      </c>
      <c r="F62" s="6" t="n">
        <v>4</v>
      </c>
      <c r="G62" s="6" t="s">
        <v>609</v>
      </c>
      <c r="H62" s="8" t="n">
        <v>45666</v>
      </c>
      <c r="I62" s="8" t="n">
        <v>47492</v>
      </c>
      <c r="J62" s="6" t="s">
        <v>781</v>
      </c>
    </row>
    <row r="63" customFormat="false" ht="15" hidden="false" customHeight="false" outlineLevel="0" collapsed="false">
      <c r="A63" s="6" t="s">
        <v>53</v>
      </c>
      <c r="B63" s="6" t="s">
        <v>308</v>
      </c>
      <c r="C63" s="6" t="s">
        <v>309</v>
      </c>
      <c r="D63" s="6" t="s">
        <v>602</v>
      </c>
      <c r="E63" s="6" t="s">
        <v>192</v>
      </c>
      <c r="F63" s="6" t="n">
        <v>5</v>
      </c>
      <c r="G63" s="6" t="s">
        <v>603</v>
      </c>
      <c r="H63" s="8" t="n">
        <v>45304</v>
      </c>
      <c r="I63" s="8" t="n">
        <v>47130</v>
      </c>
      <c r="J63" s="6" t="s">
        <v>757</v>
      </c>
    </row>
    <row r="64" customFormat="false" ht="15" hidden="false" customHeight="false" outlineLevel="0" collapsed="false">
      <c r="A64" s="6" t="s">
        <v>53</v>
      </c>
      <c r="B64" s="6" t="s">
        <v>312</v>
      </c>
      <c r="C64" s="6" t="s">
        <v>313</v>
      </c>
      <c r="D64" s="6" t="s">
        <v>625</v>
      </c>
      <c r="E64" s="6" t="s">
        <v>705</v>
      </c>
      <c r="F64" s="6" t="n">
        <v>5</v>
      </c>
      <c r="G64" s="6" t="s">
        <v>609</v>
      </c>
      <c r="H64" s="8" t="n">
        <v>44911</v>
      </c>
      <c r="I64" s="8" t="n">
        <v>46737</v>
      </c>
      <c r="J64" s="6" t="s">
        <v>704</v>
      </c>
    </row>
    <row r="65" customFormat="false" ht="15" hidden="false" customHeight="false" outlineLevel="0" collapsed="false">
      <c r="A65" s="6" t="s">
        <v>53</v>
      </c>
      <c r="B65" s="6" t="s">
        <v>316</v>
      </c>
      <c r="C65" s="6" t="s">
        <v>317</v>
      </c>
      <c r="D65" s="6" t="s">
        <v>602</v>
      </c>
      <c r="E65" s="6" t="s">
        <v>196</v>
      </c>
      <c r="F65" s="6" t="n">
        <v>5</v>
      </c>
      <c r="G65" s="6" t="s">
        <v>603</v>
      </c>
      <c r="H65" s="8" t="n">
        <v>45213</v>
      </c>
      <c r="I65" s="8" t="n">
        <v>47039</v>
      </c>
      <c r="J65" s="6" t="s">
        <v>735</v>
      </c>
    </row>
    <row r="66" customFormat="false" ht="15" hidden="false" customHeight="false" outlineLevel="0" collapsed="false">
      <c r="A66" s="6" t="s">
        <v>53</v>
      </c>
      <c r="B66" s="6" t="s">
        <v>320</v>
      </c>
      <c r="C66" s="6" t="s">
        <v>205</v>
      </c>
      <c r="D66" s="6" t="s">
        <v>602</v>
      </c>
      <c r="E66" s="6" t="s">
        <v>204</v>
      </c>
      <c r="F66" s="6" t="n">
        <v>5</v>
      </c>
      <c r="G66" s="6" t="s">
        <v>603</v>
      </c>
      <c r="H66" s="8" t="n">
        <v>45765</v>
      </c>
      <c r="I66" s="8" t="n">
        <v>47591</v>
      </c>
      <c r="J66" s="6" t="s">
        <v>792</v>
      </c>
    </row>
    <row r="67" customFormat="false" ht="15" hidden="false" customHeight="false" outlineLevel="0" collapsed="false">
      <c r="A67" s="6" t="s">
        <v>53</v>
      </c>
      <c r="B67" s="6" t="s">
        <v>321</v>
      </c>
      <c r="C67" s="6" t="s">
        <v>209</v>
      </c>
      <c r="D67" s="6" t="s">
        <v>602</v>
      </c>
      <c r="E67" s="6" t="s">
        <v>208</v>
      </c>
      <c r="F67" s="6" t="n">
        <v>5</v>
      </c>
      <c r="G67" s="6" t="s">
        <v>603</v>
      </c>
      <c r="H67" s="8" t="n">
        <v>45110</v>
      </c>
      <c r="I67" s="8" t="n">
        <v>46936</v>
      </c>
      <c r="J67" s="6" t="s">
        <v>724</v>
      </c>
    </row>
    <row r="68" customFormat="false" ht="15" hidden="false" customHeight="false" outlineLevel="0" collapsed="false">
      <c r="A68" s="6" t="s">
        <v>53</v>
      </c>
      <c r="B68" s="6" t="s">
        <v>251</v>
      </c>
      <c r="C68" s="6" t="s">
        <v>252</v>
      </c>
      <c r="D68" s="6" t="s">
        <v>602</v>
      </c>
      <c r="E68" s="6" t="s">
        <v>81</v>
      </c>
      <c r="F68" s="6" t="n">
        <v>4</v>
      </c>
      <c r="G68" s="6" t="s">
        <v>603</v>
      </c>
      <c r="H68" s="8" t="n">
        <v>44630</v>
      </c>
      <c r="I68" s="8" t="n">
        <v>46456</v>
      </c>
      <c r="J68" s="6" t="s">
        <v>683</v>
      </c>
    </row>
    <row r="69" customFormat="false" ht="15" hidden="false" customHeight="false" outlineLevel="0" collapsed="false">
      <c r="A69" s="6" t="s">
        <v>53</v>
      </c>
      <c r="B69" s="6" t="s">
        <v>241</v>
      </c>
      <c r="C69" s="6" t="s">
        <v>242</v>
      </c>
      <c r="D69" s="6" t="s">
        <v>602</v>
      </c>
      <c r="E69" s="6" t="s">
        <v>71</v>
      </c>
      <c r="F69" s="6" t="n">
        <v>5</v>
      </c>
      <c r="G69" s="6" t="s">
        <v>603</v>
      </c>
      <c r="H69" s="8" t="n">
        <v>44313</v>
      </c>
      <c r="I69" s="8" t="n">
        <v>46139</v>
      </c>
      <c r="J69" s="6" t="s">
        <v>620</v>
      </c>
    </row>
    <row r="70" customFormat="false" ht="15" hidden="false" customHeight="false" outlineLevel="0" collapsed="false">
      <c r="A70" s="6" t="s">
        <v>53</v>
      </c>
      <c r="B70" s="6" t="s">
        <v>253</v>
      </c>
      <c r="C70" s="6" t="s">
        <v>254</v>
      </c>
      <c r="D70" s="6" t="s">
        <v>625</v>
      </c>
      <c r="E70" s="6" t="s">
        <v>626</v>
      </c>
      <c r="F70" s="6" t="n">
        <v>5</v>
      </c>
      <c r="G70" s="6" t="s">
        <v>609</v>
      </c>
      <c r="H70" s="8" t="n">
        <v>44567</v>
      </c>
      <c r="I70" s="8" t="n">
        <v>46393</v>
      </c>
      <c r="J70" s="6" t="s">
        <v>663</v>
      </c>
    </row>
    <row r="71" customFormat="false" ht="15" hidden="false" customHeight="false" outlineLevel="0" collapsed="false">
      <c r="A71" s="6" t="s">
        <v>53</v>
      </c>
      <c r="B71" s="6" t="s">
        <v>264</v>
      </c>
      <c r="C71" s="6" t="s">
        <v>265</v>
      </c>
      <c r="D71" s="6" t="s">
        <v>625</v>
      </c>
      <c r="E71" s="6" t="s">
        <v>626</v>
      </c>
      <c r="F71" s="6" t="n">
        <v>4</v>
      </c>
      <c r="G71" s="6" t="s">
        <v>609</v>
      </c>
      <c r="H71" s="8" t="n">
        <v>46050</v>
      </c>
      <c r="I71" s="8" t="n">
        <v>47876</v>
      </c>
      <c r="J71" s="6" t="s">
        <v>819</v>
      </c>
    </row>
    <row r="72" customFormat="false" ht="15" hidden="false" customHeight="false" outlineLevel="0" collapsed="false">
      <c r="A72" s="6" t="s">
        <v>53</v>
      </c>
      <c r="B72" s="6" t="s">
        <v>257</v>
      </c>
      <c r="C72" s="6" t="s">
        <v>258</v>
      </c>
      <c r="D72" s="6" t="s">
        <v>602</v>
      </c>
      <c r="E72" s="6" t="s">
        <v>89</v>
      </c>
      <c r="F72" s="6" t="n">
        <v>4</v>
      </c>
      <c r="G72" s="6" t="s">
        <v>603</v>
      </c>
      <c r="H72" s="8" t="n">
        <v>44341</v>
      </c>
      <c r="I72" s="8" t="n">
        <v>46167</v>
      </c>
      <c r="J72" s="6" t="s">
        <v>628</v>
      </c>
    </row>
    <row r="73" customFormat="false" ht="15" hidden="false" customHeight="false" outlineLevel="0" collapsed="false">
      <c r="A73" s="6" t="s">
        <v>53</v>
      </c>
      <c r="B73" s="6" t="s">
        <v>247</v>
      </c>
      <c r="C73" s="6" t="s">
        <v>248</v>
      </c>
      <c r="D73" s="6" t="s">
        <v>625</v>
      </c>
      <c r="E73" s="6" t="s">
        <v>626</v>
      </c>
      <c r="F73" s="6" t="n">
        <v>5</v>
      </c>
      <c r="G73" s="6" t="s">
        <v>609</v>
      </c>
      <c r="H73" s="8" t="n">
        <v>45125</v>
      </c>
      <c r="I73" s="8" t="n">
        <v>46951</v>
      </c>
      <c r="J73" s="6" t="s">
        <v>725</v>
      </c>
    </row>
    <row r="74" customFormat="false" ht="15" hidden="false" customHeight="false" outlineLevel="0" collapsed="false">
      <c r="A74" s="6" t="s">
        <v>53</v>
      </c>
      <c r="B74" s="6" t="s">
        <v>259</v>
      </c>
      <c r="C74" s="6" t="s">
        <v>86</v>
      </c>
      <c r="D74" s="6" t="s">
        <v>602</v>
      </c>
      <c r="E74" s="6" t="s">
        <v>85</v>
      </c>
      <c r="F74" s="6" t="n">
        <v>4</v>
      </c>
      <c r="G74" s="6" t="s">
        <v>603</v>
      </c>
      <c r="H74" s="8" t="n">
        <v>45106</v>
      </c>
      <c r="I74" s="8" t="n">
        <v>46932</v>
      </c>
      <c r="J74" s="6" t="s">
        <v>722</v>
      </c>
    </row>
    <row r="75" customFormat="false" ht="15" hidden="false" customHeight="false" outlineLevel="0" collapsed="false">
      <c r="A75" s="6" t="s">
        <v>53</v>
      </c>
      <c r="B75" s="6" t="s">
        <v>260</v>
      </c>
      <c r="C75" s="6" t="s">
        <v>261</v>
      </c>
      <c r="D75" s="6" t="s">
        <v>625</v>
      </c>
      <c r="E75" s="6" t="s">
        <v>626</v>
      </c>
      <c r="F75" s="6" t="n">
        <v>4</v>
      </c>
      <c r="G75" s="6" t="s">
        <v>609</v>
      </c>
      <c r="H75" s="8" t="n">
        <v>44319</v>
      </c>
      <c r="I75" s="8" t="n">
        <v>46145</v>
      </c>
      <c r="J75" s="6" t="s">
        <v>624</v>
      </c>
    </row>
    <row r="76" customFormat="false" ht="15" hidden="false" customHeight="false" outlineLevel="0" collapsed="false">
      <c r="A76" s="6" t="s">
        <v>53</v>
      </c>
      <c r="B76" s="6" t="s">
        <v>262</v>
      </c>
      <c r="C76" s="6" t="s">
        <v>263</v>
      </c>
      <c r="D76" s="6" t="s">
        <v>625</v>
      </c>
      <c r="E76" s="6" t="s">
        <v>626</v>
      </c>
      <c r="F76" s="6" t="n">
        <v>4</v>
      </c>
      <c r="G76" s="6" t="s">
        <v>609</v>
      </c>
      <c r="H76" s="8" t="n">
        <v>45025</v>
      </c>
      <c r="I76" s="8" t="n">
        <v>46851</v>
      </c>
      <c r="J76" s="6" t="s">
        <v>714</v>
      </c>
    </row>
    <row r="77" customFormat="false" ht="15" hidden="false" customHeight="false" outlineLevel="0" collapsed="false">
      <c r="A77" s="6" t="s">
        <v>53</v>
      </c>
      <c r="B77" s="6" t="s">
        <v>268</v>
      </c>
      <c r="C77" s="6" t="s">
        <v>269</v>
      </c>
      <c r="D77" s="6" t="s">
        <v>625</v>
      </c>
      <c r="E77" s="6" t="s">
        <v>626</v>
      </c>
      <c r="F77" s="6" t="n">
        <v>4</v>
      </c>
      <c r="G77" s="6" t="s">
        <v>609</v>
      </c>
      <c r="H77" s="8" t="n">
        <v>44864</v>
      </c>
      <c r="I77" s="8" t="n">
        <v>46690</v>
      </c>
      <c r="J77" s="6" t="s">
        <v>697</v>
      </c>
    </row>
    <row r="78" customFormat="false" ht="15" hidden="false" customHeight="false" outlineLevel="0" collapsed="false">
      <c r="A78" s="6" t="s">
        <v>53</v>
      </c>
      <c r="B78" s="6" t="s">
        <v>274</v>
      </c>
      <c r="C78" s="6" t="s">
        <v>275</v>
      </c>
      <c r="D78" s="6" t="s">
        <v>602</v>
      </c>
      <c r="E78" s="6" t="s">
        <v>122</v>
      </c>
      <c r="F78" s="6" t="n">
        <v>4</v>
      </c>
      <c r="G78" s="6" t="s">
        <v>603</v>
      </c>
      <c r="H78" s="8" t="n">
        <v>45092</v>
      </c>
      <c r="I78" s="8" t="n">
        <v>46918</v>
      </c>
      <c r="J78" s="6" t="s">
        <v>720</v>
      </c>
    </row>
    <row r="79" customFormat="false" ht="15" hidden="false" customHeight="false" outlineLevel="0" collapsed="false">
      <c r="A79" s="6" t="s">
        <v>53</v>
      </c>
      <c r="B79" s="6" t="s">
        <v>272</v>
      </c>
      <c r="C79" s="6" t="s">
        <v>273</v>
      </c>
      <c r="D79" s="6" t="s">
        <v>602</v>
      </c>
      <c r="E79" s="6" t="s">
        <v>117</v>
      </c>
      <c r="F79" s="6" t="n">
        <v>4</v>
      </c>
      <c r="G79" s="6" t="s">
        <v>603</v>
      </c>
      <c r="H79" s="8" t="n">
        <v>45604</v>
      </c>
      <c r="I79" s="8" t="n">
        <v>47430</v>
      </c>
      <c r="J79" s="6" t="s">
        <v>778</v>
      </c>
    </row>
    <row r="80" customFormat="false" ht="15" hidden="false" customHeight="false" outlineLevel="0" collapsed="false">
      <c r="A80" s="6" t="s">
        <v>53</v>
      </c>
      <c r="B80" s="6" t="s">
        <v>278</v>
      </c>
      <c r="C80" s="6" t="s">
        <v>279</v>
      </c>
      <c r="D80" s="6" t="s">
        <v>602</v>
      </c>
      <c r="E80" s="6" t="s">
        <v>130</v>
      </c>
      <c r="F80" s="6" t="n">
        <v>4</v>
      </c>
      <c r="G80" s="6" t="s">
        <v>603</v>
      </c>
      <c r="H80" s="8" t="n">
        <v>45681</v>
      </c>
      <c r="I80" s="8" t="n">
        <v>47507</v>
      </c>
      <c r="J80" s="6" t="s">
        <v>782</v>
      </c>
    </row>
    <row r="81" customFormat="false" ht="15" hidden="false" customHeight="false" outlineLevel="0" collapsed="false">
      <c r="A81" s="6" t="s">
        <v>53</v>
      </c>
      <c r="B81" s="6" t="s">
        <v>276</v>
      </c>
      <c r="C81" s="6" t="s">
        <v>277</v>
      </c>
      <c r="D81" s="6" t="s">
        <v>602</v>
      </c>
      <c r="E81" s="6" t="s">
        <v>126</v>
      </c>
      <c r="F81" s="6" t="n">
        <v>4</v>
      </c>
      <c r="G81" s="6" t="s">
        <v>603</v>
      </c>
      <c r="H81" s="8" t="n">
        <v>44590</v>
      </c>
      <c r="I81" s="8" t="n">
        <v>46416</v>
      </c>
      <c r="J81" s="6" t="s">
        <v>666</v>
      </c>
    </row>
    <row r="82" customFormat="false" ht="15" hidden="false" customHeight="false" outlineLevel="0" collapsed="false">
      <c r="A82" s="6" t="s">
        <v>53</v>
      </c>
      <c r="B82" s="6" t="s">
        <v>280</v>
      </c>
      <c r="C82" s="6" t="s">
        <v>281</v>
      </c>
      <c r="D82" s="6" t="s">
        <v>602</v>
      </c>
      <c r="E82" s="6" t="s">
        <v>134</v>
      </c>
      <c r="F82" s="6" t="n">
        <v>4</v>
      </c>
      <c r="G82" s="6" t="s">
        <v>603</v>
      </c>
      <c r="H82" s="8" t="n">
        <v>45294</v>
      </c>
      <c r="I82" s="8" t="n">
        <v>47120</v>
      </c>
      <c r="J82" s="6" t="s">
        <v>747</v>
      </c>
    </row>
    <row r="83" customFormat="false" ht="15" hidden="false" customHeight="false" outlineLevel="0" collapsed="false">
      <c r="A83" s="6" t="s">
        <v>53</v>
      </c>
      <c r="B83" s="6" t="s">
        <v>282</v>
      </c>
      <c r="C83" s="6" t="s">
        <v>283</v>
      </c>
      <c r="D83" s="6" t="s">
        <v>625</v>
      </c>
      <c r="E83" s="6" t="s">
        <v>826</v>
      </c>
      <c r="F83" s="6" t="n">
        <v>4</v>
      </c>
      <c r="G83" s="6" t="s">
        <v>609</v>
      </c>
      <c r="H83" s="8" t="n">
        <v>46092</v>
      </c>
      <c r="I83" s="8" t="n">
        <v>47918</v>
      </c>
      <c r="J83" s="6" t="s">
        <v>825</v>
      </c>
    </row>
    <row r="84" customFormat="false" ht="15" hidden="false" customHeight="false" outlineLevel="0" collapsed="false">
      <c r="A84" s="6" t="s">
        <v>53</v>
      </c>
      <c r="B84" s="6" t="s">
        <v>322</v>
      </c>
      <c r="C84" s="6" t="s">
        <v>323</v>
      </c>
      <c r="D84" s="6" t="s">
        <v>602</v>
      </c>
      <c r="E84" s="6" t="s">
        <v>212</v>
      </c>
      <c r="F84" s="6" t="n">
        <v>4</v>
      </c>
      <c r="G84" s="6" t="s">
        <v>603</v>
      </c>
      <c r="H84" s="8" t="n">
        <v>44440</v>
      </c>
      <c r="I84" s="8" t="n">
        <v>46266</v>
      </c>
      <c r="J84" s="6" t="s">
        <v>637</v>
      </c>
    </row>
    <row r="85" customFormat="false" ht="15" hidden="false" customHeight="false" outlineLevel="0" collapsed="false">
      <c r="A85" s="6" t="s">
        <v>53</v>
      </c>
      <c r="B85" s="6" t="s">
        <v>324</v>
      </c>
      <c r="C85" s="6" t="s">
        <v>325</v>
      </c>
      <c r="D85" s="6" t="s">
        <v>602</v>
      </c>
      <c r="E85" s="6" t="s">
        <v>217</v>
      </c>
      <c r="F85" s="6" t="n">
        <v>4</v>
      </c>
      <c r="G85" s="6" t="s">
        <v>603</v>
      </c>
      <c r="H85" s="8" t="n">
        <v>45503</v>
      </c>
      <c r="I85" s="8" t="n">
        <v>47329</v>
      </c>
      <c r="J85" s="6" t="s">
        <v>770</v>
      </c>
    </row>
    <row r="86" customFormat="false" ht="15" hidden="false" customHeight="false" outlineLevel="0" collapsed="false">
      <c r="A86" s="6" t="s">
        <v>53</v>
      </c>
      <c r="B86" s="6" t="s">
        <v>333</v>
      </c>
      <c r="C86" s="6" t="s">
        <v>334</v>
      </c>
      <c r="D86" s="6" t="s">
        <v>625</v>
      </c>
      <c r="E86" s="6" t="s">
        <v>658</v>
      </c>
      <c r="F86" s="6" t="n">
        <v>4</v>
      </c>
      <c r="G86" s="6" t="s">
        <v>609</v>
      </c>
      <c r="H86" s="8" t="n">
        <v>46090</v>
      </c>
      <c r="I86" s="8" t="n">
        <v>47916</v>
      </c>
      <c r="J86" s="6" t="s">
        <v>823</v>
      </c>
    </row>
    <row r="87" customFormat="false" ht="15" hidden="false" customHeight="false" outlineLevel="0" collapsed="false">
      <c r="A87" s="6" t="s">
        <v>53</v>
      </c>
      <c r="B87" s="6" t="s">
        <v>326</v>
      </c>
      <c r="C87" s="6" t="s">
        <v>327</v>
      </c>
      <c r="D87" s="6" t="s">
        <v>602</v>
      </c>
      <c r="E87" s="6" t="s">
        <v>221</v>
      </c>
      <c r="F87" s="6" t="n">
        <v>4</v>
      </c>
      <c r="G87" s="6" t="s">
        <v>603</v>
      </c>
      <c r="H87" s="8" t="n">
        <v>44482</v>
      </c>
      <c r="I87" s="8" t="n">
        <v>46308</v>
      </c>
      <c r="J87" s="6" t="s">
        <v>651</v>
      </c>
    </row>
    <row r="88" customFormat="false" ht="15" hidden="false" customHeight="false" outlineLevel="0" collapsed="false">
      <c r="A88" s="6" t="s">
        <v>53</v>
      </c>
      <c r="B88" s="6" t="s">
        <v>328</v>
      </c>
      <c r="C88" s="6" t="s">
        <v>226</v>
      </c>
      <c r="D88" s="6" t="s">
        <v>602</v>
      </c>
      <c r="E88" s="6" t="s">
        <v>225</v>
      </c>
      <c r="F88" s="6" t="n">
        <v>4</v>
      </c>
      <c r="G88" s="6" t="s">
        <v>603</v>
      </c>
      <c r="H88" s="8" t="n">
        <v>45499</v>
      </c>
      <c r="I88" s="8" t="n">
        <v>47325</v>
      </c>
      <c r="J88" s="6" t="s">
        <v>768</v>
      </c>
    </row>
    <row r="89" customFormat="false" ht="15" hidden="false" customHeight="false" outlineLevel="0" collapsed="false">
      <c r="A89" s="6" t="s">
        <v>53</v>
      </c>
      <c r="B89" s="6" t="s">
        <v>329</v>
      </c>
      <c r="C89" s="6" t="s">
        <v>330</v>
      </c>
      <c r="D89" s="6" t="s">
        <v>625</v>
      </c>
      <c r="E89" s="6" t="s">
        <v>658</v>
      </c>
      <c r="F89" s="6" t="n">
        <v>4</v>
      </c>
      <c r="G89" s="6" t="s">
        <v>609</v>
      </c>
      <c r="H89" s="8" t="n">
        <v>46255</v>
      </c>
      <c r="I89" s="8" t="n">
        <v>48081</v>
      </c>
      <c r="J89" s="6" t="s">
        <v>843</v>
      </c>
    </row>
    <row r="90" customFormat="false" ht="15" hidden="false" customHeight="false" outlineLevel="0" collapsed="false">
      <c r="A90" s="6" t="s">
        <v>53</v>
      </c>
      <c r="B90" s="6" t="s">
        <v>337</v>
      </c>
      <c r="C90" s="6" t="s">
        <v>338</v>
      </c>
      <c r="D90" s="6" t="s">
        <v>625</v>
      </c>
      <c r="E90" s="6" t="s">
        <v>658</v>
      </c>
      <c r="F90" s="6" t="n">
        <v>4</v>
      </c>
      <c r="G90" s="6" t="s">
        <v>609</v>
      </c>
      <c r="H90" s="8" t="n">
        <v>45295</v>
      </c>
      <c r="I90" s="8" t="n">
        <v>47121</v>
      </c>
      <c r="J90" s="6" t="s">
        <v>749</v>
      </c>
    </row>
    <row r="91" customFormat="false" ht="15" hidden="false" customHeight="false" outlineLevel="0" collapsed="false">
      <c r="A91" s="6" t="s">
        <v>53</v>
      </c>
      <c r="B91" s="6" t="s">
        <v>286</v>
      </c>
      <c r="C91" s="6" t="s">
        <v>287</v>
      </c>
      <c r="D91" s="6" t="s">
        <v>602</v>
      </c>
      <c r="E91" s="6" t="s">
        <v>142</v>
      </c>
      <c r="F91" s="6" t="n">
        <v>4</v>
      </c>
      <c r="G91" s="6" t="s">
        <v>603</v>
      </c>
      <c r="H91" s="8" t="n">
        <v>45761</v>
      </c>
      <c r="I91" s="8" t="n">
        <v>47587</v>
      </c>
      <c r="J91" s="6" t="s">
        <v>790</v>
      </c>
    </row>
    <row r="92" customFormat="false" ht="15" hidden="false" customHeight="false" outlineLevel="0" collapsed="false">
      <c r="A92" s="6" t="s">
        <v>53</v>
      </c>
      <c r="B92" s="6" t="s">
        <v>288</v>
      </c>
      <c r="C92" s="6" t="s">
        <v>289</v>
      </c>
      <c r="D92" s="6" t="s">
        <v>625</v>
      </c>
      <c r="E92" s="6" t="s">
        <v>635</v>
      </c>
      <c r="F92" s="6" t="n">
        <v>4</v>
      </c>
      <c r="G92" s="6" t="s">
        <v>609</v>
      </c>
      <c r="H92" s="8" t="n">
        <v>45411</v>
      </c>
      <c r="I92" s="8" t="n">
        <v>47237</v>
      </c>
      <c r="J92" s="6" t="s">
        <v>766</v>
      </c>
    </row>
    <row r="93" customFormat="false" ht="15" hidden="false" customHeight="false" outlineLevel="0" collapsed="false">
      <c r="A93" s="6" t="s">
        <v>53</v>
      </c>
      <c r="B93" s="6" t="s">
        <v>294</v>
      </c>
      <c r="C93" s="6" t="s">
        <v>172</v>
      </c>
      <c r="D93" s="6" t="s">
        <v>602</v>
      </c>
      <c r="E93" s="6" t="s">
        <v>171</v>
      </c>
      <c r="F93" s="6" t="n">
        <v>4</v>
      </c>
      <c r="G93" s="6" t="s">
        <v>603</v>
      </c>
      <c r="H93" s="8" t="n">
        <v>44495</v>
      </c>
      <c r="I93" s="8" t="n">
        <v>46321</v>
      </c>
      <c r="J93" s="6" t="s">
        <v>655</v>
      </c>
    </row>
    <row r="94" customFormat="false" ht="15" hidden="false" customHeight="false" outlineLevel="0" collapsed="false">
      <c r="A94" s="6" t="s">
        <v>53</v>
      </c>
      <c r="B94" s="6" t="s">
        <v>295</v>
      </c>
      <c r="C94" s="6" t="s">
        <v>164</v>
      </c>
      <c r="D94" s="6" t="s">
        <v>602</v>
      </c>
      <c r="E94" s="6" t="s">
        <v>163</v>
      </c>
      <c r="F94" s="6" t="n">
        <v>4</v>
      </c>
      <c r="G94" s="6" t="s">
        <v>603</v>
      </c>
      <c r="H94" s="8" t="n">
        <v>45144</v>
      </c>
      <c r="I94" s="8" t="n">
        <v>46970</v>
      </c>
      <c r="J94" s="6" t="s">
        <v>726</v>
      </c>
    </row>
    <row r="95" customFormat="false" ht="15" hidden="false" customHeight="false" outlineLevel="0" collapsed="false">
      <c r="A95" s="6" t="s">
        <v>53</v>
      </c>
      <c r="B95" s="6" t="s">
        <v>292</v>
      </c>
      <c r="C95" s="6" t="s">
        <v>293</v>
      </c>
      <c r="D95" s="6" t="s">
        <v>602</v>
      </c>
      <c r="E95" s="6" t="s">
        <v>151</v>
      </c>
      <c r="F95" s="6" t="n">
        <v>4</v>
      </c>
      <c r="G95" s="6" t="s">
        <v>603</v>
      </c>
      <c r="H95" s="8" t="n">
        <v>45692</v>
      </c>
      <c r="I95" s="8" t="n">
        <v>47518</v>
      </c>
      <c r="J95" s="6" t="s">
        <v>783</v>
      </c>
    </row>
    <row r="96" customFormat="false" ht="15" hidden="false" customHeight="false" outlineLevel="0" collapsed="false">
      <c r="A96" s="6" t="s">
        <v>53</v>
      </c>
      <c r="B96" s="6" t="s">
        <v>296</v>
      </c>
      <c r="C96" s="6" t="s">
        <v>297</v>
      </c>
      <c r="D96" s="6" t="s">
        <v>625</v>
      </c>
      <c r="E96" s="6" t="s">
        <v>635</v>
      </c>
      <c r="F96" s="6" t="n">
        <v>4</v>
      </c>
      <c r="G96" s="6" t="s">
        <v>609</v>
      </c>
      <c r="H96" s="8" t="n">
        <v>45164</v>
      </c>
      <c r="I96" s="8" t="n">
        <v>46990</v>
      </c>
      <c r="J96" s="6" t="s">
        <v>730</v>
      </c>
    </row>
    <row r="97" customFormat="false" ht="15" hidden="false" customHeight="false" outlineLevel="0" collapsed="false">
      <c r="A97" s="6" t="s">
        <v>61</v>
      </c>
      <c r="B97" s="6" t="s">
        <v>511</v>
      </c>
      <c r="C97" s="6" t="s">
        <v>512</v>
      </c>
      <c r="D97" s="6" t="s">
        <v>602</v>
      </c>
      <c r="E97" s="6" t="s">
        <v>179</v>
      </c>
      <c r="F97" s="6" t="n">
        <v>3.33</v>
      </c>
      <c r="G97" s="6" t="s">
        <v>603</v>
      </c>
      <c r="H97" s="8" t="n">
        <v>45297</v>
      </c>
      <c r="I97" s="8" t="n">
        <v>47123</v>
      </c>
      <c r="J97" s="6" t="s">
        <v>753</v>
      </c>
    </row>
    <row r="98" customFormat="false" ht="15" hidden="false" customHeight="false" outlineLevel="0" collapsed="false">
      <c r="A98" s="6" t="s">
        <v>61</v>
      </c>
      <c r="B98" s="6" t="s">
        <v>513</v>
      </c>
      <c r="C98" s="6" t="s">
        <v>397</v>
      </c>
      <c r="D98" s="6" t="s">
        <v>602</v>
      </c>
      <c r="E98" s="6" t="s">
        <v>196</v>
      </c>
      <c r="F98" s="6" t="n">
        <v>3.33</v>
      </c>
      <c r="G98" s="6" t="s">
        <v>603</v>
      </c>
      <c r="H98" s="8" t="n">
        <v>45379</v>
      </c>
      <c r="I98" s="8" t="n">
        <v>47205</v>
      </c>
      <c r="J98" s="6" t="s">
        <v>763</v>
      </c>
    </row>
    <row r="99" customFormat="false" ht="15" hidden="false" customHeight="false" outlineLevel="0" collapsed="false">
      <c r="A99" s="6" t="s">
        <v>61</v>
      </c>
      <c r="B99" s="6" t="s">
        <v>480</v>
      </c>
      <c r="C99" s="6" t="s">
        <v>481</v>
      </c>
      <c r="D99" s="6" t="s">
        <v>669</v>
      </c>
      <c r="E99" s="6" t="s">
        <v>71</v>
      </c>
      <c r="F99" s="6" t="n">
        <v>2.66</v>
      </c>
      <c r="G99" s="6" t="s">
        <v>761</v>
      </c>
      <c r="H99" s="8" t="n">
        <v>45351</v>
      </c>
      <c r="I99" s="8" t="n">
        <v>47177</v>
      </c>
      <c r="J99" s="6" t="s">
        <v>760</v>
      </c>
    </row>
    <row r="100" customFormat="false" ht="15" hidden="false" customHeight="false" outlineLevel="0" collapsed="false">
      <c r="A100" s="6" t="s">
        <v>61</v>
      </c>
      <c r="B100" s="6" t="s">
        <v>484</v>
      </c>
      <c r="C100" s="6" t="s">
        <v>485</v>
      </c>
      <c r="D100" s="6" t="s">
        <v>669</v>
      </c>
      <c r="E100" s="6" t="s">
        <v>71</v>
      </c>
      <c r="F100" s="6" t="n">
        <v>2.66</v>
      </c>
      <c r="G100" s="6" t="s">
        <v>743</v>
      </c>
      <c r="H100" s="8" t="n">
        <v>45234</v>
      </c>
      <c r="I100" s="8" t="n">
        <v>47060</v>
      </c>
      <c r="J100" s="6" t="s">
        <v>742</v>
      </c>
    </row>
    <row r="101" customFormat="false" ht="15" hidden="false" customHeight="false" outlineLevel="0" collapsed="false">
      <c r="A101" s="6" t="s">
        <v>61</v>
      </c>
      <c r="B101" s="6" t="s">
        <v>488</v>
      </c>
      <c r="C101" s="6" t="s">
        <v>489</v>
      </c>
      <c r="D101" s="6" t="s">
        <v>625</v>
      </c>
      <c r="E101" s="6" t="s">
        <v>626</v>
      </c>
      <c r="F101" s="6" t="n">
        <v>2.66</v>
      </c>
      <c r="G101" s="6" t="s">
        <v>609</v>
      </c>
      <c r="H101" s="8" t="n">
        <v>46026</v>
      </c>
      <c r="I101" s="8" t="n">
        <v>47852</v>
      </c>
      <c r="J101" s="6" t="s">
        <v>813</v>
      </c>
    </row>
    <row r="102" customFormat="false" ht="15" hidden="false" customHeight="false" outlineLevel="0" collapsed="false">
      <c r="A102" s="6" t="s">
        <v>61</v>
      </c>
      <c r="B102" s="6" t="s">
        <v>507</v>
      </c>
      <c r="C102" s="6" t="s">
        <v>356</v>
      </c>
      <c r="D102" s="6" t="s">
        <v>602</v>
      </c>
      <c r="E102" s="6" t="s">
        <v>117</v>
      </c>
      <c r="F102" s="6" t="n">
        <v>2.66</v>
      </c>
      <c r="G102" s="6" t="s">
        <v>603</v>
      </c>
      <c r="H102" s="8" t="n">
        <v>45853</v>
      </c>
      <c r="I102" s="8" t="n">
        <v>47679</v>
      </c>
      <c r="J102" s="6" t="s">
        <v>795</v>
      </c>
    </row>
    <row r="103" customFormat="false" ht="15" hidden="false" customHeight="false" outlineLevel="0" collapsed="false">
      <c r="A103" s="6" t="s">
        <v>61</v>
      </c>
      <c r="B103" s="6" t="s">
        <v>508</v>
      </c>
      <c r="C103" s="6" t="s">
        <v>358</v>
      </c>
      <c r="D103" s="6" t="s">
        <v>602</v>
      </c>
      <c r="E103" s="6" t="s">
        <v>122</v>
      </c>
      <c r="F103" s="6" t="n">
        <v>2.66</v>
      </c>
      <c r="G103" s="6" t="s">
        <v>603</v>
      </c>
      <c r="H103" s="8" t="n">
        <v>44885</v>
      </c>
      <c r="I103" s="8" t="n">
        <v>46711</v>
      </c>
      <c r="J103" s="6" t="s">
        <v>702</v>
      </c>
    </row>
    <row r="104" customFormat="false" ht="15" hidden="false" customHeight="false" outlineLevel="0" collapsed="false">
      <c r="A104" s="6" t="s">
        <v>61</v>
      </c>
      <c r="B104" s="6" t="s">
        <v>492</v>
      </c>
      <c r="C104" s="6" t="s">
        <v>213</v>
      </c>
      <c r="D104" s="6" t="s">
        <v>602</v>
      </c>
      <c r="E104" s="6" t="s">
        <v>212</v>
      </c>
      <c r="F104" s="6" t="n">
        <v>3.33</v>
      </c>
      <c r="G104" s="6" t="s">
        <v>603</v>
      </c>
      <c r="H104" s="8" t="n">
        <v>44612</v>
      </c>
      <c r="I104" s="8" t="n">
        <v>46438</v>
      </c>
      <c r="J104" s="6" t="s">
        <v>678</v>
      </c>
    </row>
    <row r="105" customFormat="false" ht="15" hidden="false" customHeight="false" outlineLevel="0" collapsed="false">
      <c r="A105" s="6" t="s">
        <v>61</v>
      </c>
      <c r="B105" s="6" t="s">
        <v>495</v>
      </c>
      <c r="C105" s="6" t="s">
        <v>218</v>
      </c>
      <c r="D105" s="6" t="s">
        <v>602</v>
      </c>
      <c r="E105" s="6" t="s">
        <v>217</v>
      </c>
      <c r="F105" s="6" t="n">
        <v>3.33</v>
      </c>
      <c r="G105" s="6" t="s">
        <v>603</v>
      </c>
      <c r="H105" s="8" t="n">
        <v>44271</v>
      </c>
      <c r="I105" s="8" t="n">
        <v>46097</v>
      </c>
      <c r="J105" s="6" t="s">
        <v>616</v>
      </c>
    </row>
    <row r="106" customFormat="false" ht="15" hidden="false" customHeight="false" outlineLevel="0" collapsed="false">
      <c r="A106" s="6" t="s">
        <v>61</v>
      </c>
      <c r="B106" s="6" t="s">
        <v>498</v>
      </c>
      <c r="C106" s="6" t="s">
        <v>407</v>
      </c>
      <c r="D106" s="6" t="s">
        <v>625</v>
      </c>
      <c r="E106" s="6" t="s">
        <v>658</v>
      </c>
      <c r="F106" s="6" t="n">
        <v>3.33</v>
      </c>
      <c r="G106" s="6" t="s">
        <v>609</v>
      </c>
      <c r="H106" s="8" t="n">
        <v>45179</v>
      </c>
      <c r="I106" s="8" t="n">
        <v>47005</v>
      </c>
      <c r="J106" s="6" t="s">
        <v>731</v>
      </c>
    </row>
    <row r="107" customFormat="false" ht="15" hidden="false" customHeight="false" outlineLevel="0" collapsed="false">
      <c r="A107" s="6" t="s">
        <v>61</v>
      </c>
      <c r="B107" s="6" t="s">
        <v>501</v>
      </c>
      <c r="C107" s="6" t="s">
        <v>502</v>
      </c>
      <c r="D107" s="6" t="s">
        <v>625</v>
      </c>
      <c r="E107" s="6" t="s">
        <v>658</v>
      </c>
      <c r="F107" s="6" t="n">
        <v>2</v>
      </c>
      <c r="G107" s="6" t="s">
        <v>609</v>
      </c>
      <c r="H107" s="8" t="n">
        <v>45875</v>
      </c>
      <c r="I107" s="8" t="n">
        <v>47701</v>
      </c>
      <c r="J107" s="6" t="s">
        <v>799</v>
      </c>
    </row>
    <row r="108" customFormat="false" ht="15" hidden="false" customHeight="false" outlineLevel="0" collapsed="false">
      <c r="A108" s="6" t="s">
        <v>61</v>
      </c>
      <c r="B108" s="6" t="s">
        <v>509</v>
      </c>
      <c r="C108" s="6" t="s">
        <v>510</v>
      </c>
      <c r="D108" s="6" t="s">
        <v>602</v>
      </c>
      <c r="E108" s="6" t="s">
        <v>142</v>
      </c>
      <c r="F108" s="6" t="n">
        <v>3.33</v>
      </c>
      <c r="G108" s="6" t="s">
        <v>603</v>
      </c>
      <c r="H108" s="8" t="n">
        <v>44219</v>
      </c>
      <c r="I108" s="8" t="n">
        <v>46045</v>
      </c>
      <c r="J108" s="6" t="s">
        <v>608</v>
      </c>
    </row>
    <row r="109" customFormat="false" ht="15" hidden="false" customHeight="false" outlineLevel="0" collapsed="false">
      <c r="A109" s="6" t="s">
        <v>61</v>
      </c>
      <c r="B109" s="6" t="s">
        <v>505</v>
      </c>
      <c r="C109" s="6" t="s">
        <v>506</v>
      </c>
      <c r="D109" s="6" t="s">
        <v>625</v>
      </c>
      <c r="E109" s="6" t="s">
        <v>658</v>
      </c>
      <c r="F109" s="6" t="n">
        <v>3.33</v>
      </c>
      <c r="G109" s="6" t="s">
        <v>609</v>
      </c>
      <c r="H109" s="8" t="n">
        <v>46182</v>
      </c>
      <c r="I109" s="8" t="n">
        <v>48008</v>
      </c>
      <c r="J109" s="6" t="s">
        <v>837</v>
      </c>
    </row>
  </sheetData>
  <autoFilter ref="A1:J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80"/>
  </cols>
  <sheetData>
    <row r="1" customFormat="false" ht="52.2" hidden="false" customHeight="false" outlineLevel="0" collapsed="false">
      <c r="A1" s="5" t="s">
        <v>848</v>
      </c>
      <c r="B1" s="5" t="s">
        <v>849</v>
      </c>
      <c r="C1" s="5" t="s">
        <v>850</v>
      </c>
      <c r="D1" s="5" t="s">
        <v>851</v>
      </c>
      <c r="E1" s="5" t="s">
        <v>852</v>
      </c>
      <c r="F1" s="5" t="s">
        <v>853</v>
      </c>
      <c r="G1" s="5" t="s">
        <v>854</v>
      </c>
    </row>
    <row r="2" customFormat="false" ht="15" hidden="false" customHeight="false" outlineLevel="0" collapsed="false">
      <c r="A2" s="6" t="s">
        <v>855</v>
      </c>
      <c r="B2" s="6" t="s">
        <v>856</v>
      </c>
      <c r="C2" s="6" t="s">
        <v>857</v>
      </c>
      <c r="D2" s="8" t="n">
        <v>46267</v>
      </c>
      <c r="E2" s="8" t="n">
        <f aca="false">D2+365</f>
        <v>46632</v>
      </c>
      <c r="F2" s="6" t="n">
        <v>0</v>
      </c>
      <c r="G2" s="7" t="s">
        <v>858</v>
      </c>
    </row>
    <row r="3" customFormat="false" ht="23.85" hidden="false" customHeight="false" outlineLevel="0" collapsed="false">
      <c r="A3" s="6" t="s">
        <v>859</v>
      </c>
      <c r="B3" s="6" t="s">
        <v>860</v>
      </c>
      <c r="C3" s="6" t="s">
        <v>857</v>
      </c>
      <c r="D3" s="8" t="n">
        <v>46267</v>
      </c>
      <c r="E3" s="8" t="n">
        <f aca="false">D3+365</f>
        <v>46632</v>
      </c>
      <c r="F3" s="6" t="n">
        <v>0</v>
      </c>
      <c r="G3" s="7" t="s">
        <v>861</v>
      </c>
    </row>
    <row r="4" customFormat="false" ht="23.85" hidden="false" customHeight="false" outlineLevel="0" collapsed="false">
      <c r="A4" s="6" t="s">
        <v>862</v>
      </c>
      <c r="B4" s="6" t="s">
        <v>863</v>
      </c>
      <c r="C4" s="6" t="s">
        <v>864</v>
      </c>
      <c r="D4" s="8" t="n">
        <v>46267</v>
      </c>
      <c r="E4" s="8" t="n">
        <f aca="false">D4+365</f>
        <v>46632</v>
      </c>
      <c r="F4" s="6" t="n">
        <v>0</v>
      </c>
      <c r="G4" s="7" t="s">
        <v>865</v>
      </c>
    </row>
    <row r="5" customFormat="false" ht="23.85" hidden="false" customHeight="false" outlineLevel="0" collapsed="false">
      <c r="A5" s="6" t="s">
        <v>866</v>
      </c>
      <c r="B5" s="6" t="s">
        <v>867</v>
      </c>
      <c r="C5" s="6" t="s">
        <v>868</v>
      </c>
      <c r="D5" s="8" t="n">
        <v>46042</v>
      </c>
      <c r="E5" s="8" t="n">
        <f aca="false">D5+365</f>
        <v>46407</v>
      </c>
      <c r="F5" s="6" t="n">
        <v>0</v>
      </c>
      <c r="G5" s="7" t="s">
        <v>869</v>
      </c>
    </row>
    <row r="6" customFormat="false" ht="23.85" hidden="false" customHeight="false" outlineLevel="0" collapsed="false">
      <c r="A6" s="6" t="s">
        <v>870</v>
      </c>
      <c r="B6" s="6" t="s">
        <v>871</v>
      </c>
      <c r="C6" s="6" t="s">
        <v>872</v>
      </c>
      <c r="D6" s="8" t="n">
        <v>45902</v>
      </c>
      <c r="E6" s="8" t="n">
        <f aca="false">D6+365</f>
        <v>46267</v>
      </c>
      <c r="F6" s="6" t="n">
        <v>2</v>
      </c>
      <c r="G6" s="7" t="s">
        <v>873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34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52.2" hidden="false" customHeight="false" outlineLevel="0" collapsed="false">
      <c r="A1" s="5" t="s">
        <v>874</v>
      </c>
      <c r="B1" s="5" t="s">
        <v>848</v>
      </c>
      <c r="C1" s="5" t="s">
        <v>43</v>
      </c>
      <c r="D1" s="5" t="s">
        <v>45</v>
      </c>
      <c r="E1" s="5" t="s">
        <v>875</v>
      </c>
      <c r="F1" s="5" t="s">
        <v>65</v>
      </c>
      <c r="G1" s="5" t="s">
        <v>66</v>
      </c>
      <c r="H1" s="5" t="s">
        <v>68</v>
      </c>
      <c r="I1" s="5" t="s">
        <v>876</v>
      </c>
      <c r="J1" s="5" t="s">
        <v>877</v>
      </c>
      <c r="K1" s="5" t="s">
        <v>878</v>
      </c>
    </row>
    <row r="2" customFormat="false" ht="15" hidden="false" customHeight="false" outlineLevel="0" collapsed="false">
      <c r="A2" s="6" t="s">
        <v>879</v>
      </c>
      <c r="B2" s="6" t="s">
        <v>855</v>
      </c>
      <c r="C2" s="6" t="s">
        <v>58</v>
      </c>
      <c r="D2" s="6" t="s">
        <v>50</v>
      </c>
      <c r="E2" s="6" t="s">
        <v>880</v>
      </c>
      <c r="F2" s="6" t="s">
        <v>415</v>
      </c>
      <c r="G2" s="6" t="s">
        <v>416</v>
      </c>
      <c r="H2" s="6" t="n">
        <v>4</v>
      </c>
      <c r="I2" s="6" t="s">
        <v>881</v>
      </c>
      <c r="J2" s="6" t="s">
        <v>609</v>
      </c>
      <c r="K2" s="8" t="n">
        <v>46193</v>
      </c>
    </row>
    <row r="3" customFormat="false" ht="15" hidden="false" customHeight="false" outlineLevel="0" collapsed="false">
      <c r="A3" s="6" t="s">
        <v>882</v>
      </c>
      <c r="B3" s="6" t="s">
        <v>855</v>
      </c>
      <c r="C3" s="6" t="s">
        <v>58</v>
      </c>
      <c r="D3" s="6" t="s">
        <v>50</v>
      </c>
      <c r="E3" s="6" t="s">
        <v>880</v>
      </c>
      <c r="F3" s="6" t="s">
        <v>431</v>
      </c>
      <c r="G3" s="6" t="s">
        <v>213</v>
      </c>
      <c r="H3" s="6" t="n">
        <v>4</v>
      </c>
      <c r="I3" s="6" t="s">
        <v>883</v>
      </c>
      <c r="J3" s="6" t="s">
        <v>609</v>
      </c>
      <c r="K3" s="8" t="n">
        <v>46193</v>
      </c>
    </row>
    <row r="4" customFormat="false" ht="15" hidden="false" customHeight="false" outlineLevel="0" collapsed="false">
      <c r="A4" s="6" t="s">
        <v>884</v>
      </c>
      <c r="B4" s="6" t="s">
        <v>855</v>
      </c>
      <c r="C4" s="6" t="s">
        <v>58</v>
      </c>
      <c r="D4" s="6" t="s">
        <v>50</v>
      </c>
      <c r="E4" s="6" t="s">
        <v>880</v>
      </c>
      <c r="F4" s="6" t="s">
        <v>441</v>
      </c>
      <c r="G4" s="6" t="s">
        <v>442</v>
      </c>
      <c r="H4" s="6" t="n">
        <v>3</v>
      </c>
      <c r="I4" s="6" t="s">
        <v>885</v>
      </c>
      <c r="J4" s="6" t="s">
        <v>609</v>
      </c>
      <c r="K4" s="8" t="n">
        <v>46193</v>
      </c>
    </row>
    <row r="5" customFormat="false" ht="15" hidden="false" customHeight="false" outlineLevel="0" collapsed="false">
      <c r="A5" s="6" t="s">
        <v>886</v>
      </c>
      <c r="B5" s="6" t="s">
        <v>855</v>
      </c>
      <c r="C5" s="6" t="s">
        <v>58</v>
      </c>
      <c r="D5" s="6" t="s">
        <v>50</v>
      </c>
      <c r="E5" s="6" t="s">
        <v>887</v>
      </c>
      <c r="F5" s="6" t="s">
        <v>421</v>
      </c>
      <c r="G5" s="6" t="s">
        <v>422</v>
      </c>
      <c r="H5" s="6" t="n">
        <v>4</v>
      </c>
      <c r="I5" s="6" t="s">
        <v>888</v>
      </c>
      <c r="J5" s="6" t="s">
        <v>609</v>
      </c>
      <c r="K5" s="8" t="n">
        <v>46193</v>
      </c>
    </row>
    <row r="6" customFormat="false" ht="15" hidden="false" customHeight="false" outlineLevel="0" collapsed="false">
      <c r="A6" s="6" t="s">
        <v>889</v>
      </c>
      <c r="B6" s="6" t="s">
        <v>855</v>
      </c>
      <c r="C6" s="6" t="s">
        <v>58</v>
      </c>
      <c r="D6" s="6" t="s">
        <v>50</v>
      </c>
      <c r="E6" s="6" t="s">
        <v>887</v>
      </c>
      <c r="F6" s="6" t="s">
        <v>433</v>
      </c>
      <c r="G6" s="6" t="s">
        <v>234</v>
      </c>
      <c r="H6" s="6" t="n">
        <v>3</v>
      </c>
      <c r="I6" s="6" t="s">
        <v>888</v>
      </c>
      <c r="J6" s="6" t="s">
        <v>609</v>
      </c>
      <c r="K6" s="8" t="n">
        <v>46193</v>
      </c>
    </row>
    <row r="7" customFormat="false" ht="15" hidden="false" customHeight="false" outlineLevel="0" collapsed="false">
      <c r="A7" s="6" t="s">
        <v>890</v>
      </c>
      <c r="B7" s="6" t="s">
        <v>855</v>
      </c>
      <c r="C7" s="6" t="s">
        <v>61</v>
      </c>
      <c r="D7" s="6" t="s">
        <v>63</v>
      </c>
      <c r="E7" s="6" t="s">
        <v>891</v>
      </c>
      <c r="F7" s="6" t="s">
        <v>507</v>
      </c>
      <c r="G7" s="6" t="s">
        <v>356</v>
      </c>
      <c r="H7" s="6" t="n">
        <v>4</v>
      </c>
      <c r="I7" s="6" t="s">
        <v>883</v>
      </c>
      <c r="J7" s="6" t="s">
        <v>609</v>
      </c>
      <c r="K7" s="8" t="n">
        <v>46211</v>
      </c>
    </row>
    <row r="8" customFormat="false" ht="15" hidden="false" customHeight="false" outlineLevel="0" collapsed="false">
      <c r="A8" s="6" t="s">
        <v>892</v>
      </c>
      <c r="B8" s="6" t="s">
        <v>859</v>
      </c>
      <c r="C8" s="6" t="s">
        <v>53</v>
      </c>
      <c r="D8" s="6" t="s">
        <v>50</v>
      </c>
      <c r="E8" s="6" t="s">
        <v>880</v>
      </c>
      <c r="F8" s="6" t="s">
        <v>241</v>
      </c>
      <c r="G8" s="6" t="s">
        <v>242</v>
      </c>
      <c r="H8" s="6" t="n">
        <v>5</v>
      </c>
      <c r="I8" s="6" t="s">
        <v>881</v>
      </c>
      <c r="J8" s="6" t="s">
        <v>609</v>
      </c>
      <c r="K8" s="8" t="n">
        <v>46203</v>
      </c>
    </row>
    <row r="9" customFormat="false" ht="15" hidden="false" customHeight="false" outlineLevel="0" collapsed="false">
      <c r="A9" s="6" t="s">
        <v>893</v>
      </c>
      <c r="B9" s="6" t="s">
        <v>859</v>
      </c>
      <c r="C9" s="6" t="s">
        <v>53</v>
      </c>
      <c r="D9" s="6" t="s">
        <v>50</v>
      </c>
      <c r="E9" s="6" t="s">
        <v>880</v>
      </c>
      <c r="F9" s="6" t="s">
        <v>251</v>
      </c>
      <c r="G9" s="6" t="s">
        <v>252</v>
      </c>
      <c r="H9" s="6" t="n">
        <v>4</v>
      </c>
      <c r="I9" s="6" t="s">
        <v>885</v>
      </c>
      <c r="J9" s="6" t="s">
        <v>609</v>
      </c>
      <c r="K9" s="8" t="n">
        <v>46203</v>
      </c>
    </row>
    <row r="10" customFormat="false" ht="15" hidden="false" customHeight="false" outlineLevel="0" collapsed="false">
      <c r="A10" s="6" t="s">
        <v>894</v>
      </c>
      <c r="B10" s="6" t="s">
        <v>859</v>
      </c>
      <c r="C10" s="6" t="s">
        <v>53</v>
      </c>
      <c r="D10" s="6" t="s">
        <v>50</v>
      </c>
      <c r="E10" s="6" t="s">
        <v>880</v>
      </c>
      <c r="F10" s="6" t="s">
        <v>322</v>
      </c>
      <c r="G10" s="6" t="s">
        <v>323</v>
      </c>
      <c r="H10" s="6" t="n">
        <v>4</v>
      </c>
      <c r="I10" s="6" t="s">
        <v>888</v>
      </c>
      <c r="J10" s="6" t="s">
        <v>609</v>
      </c>
      <c r="K10" s="8" t="n">
        <v>46203</v>
      </c>
    </row>
    <row r="11" customFormat="false" ht="15" hidden="false" customHeight="false" outlineLevel="0" collapsed="false">
      <c r="A11" s="6" t="s">
        <v>895</v>
      </c>
      <c r="B11" s="6" t="s">
        <v>859</v>
      </c>
      <c r="C11" s="6" t="s">
        <v>53</v>
      </c>
      <c r="D11" s="6" t="s">
        <v>50</v>
      </c>
      <c r="E11" s="6" t="s">
        <v>880</v>
      </c>
      <c r="F11" s="6" t="s">
        <v>896</v>
      </c>
      <c r="G11" s="6" t="s">
        <v>897</v>
      </c>
      <c r="H11" s="6" t="n">
        <v>4</v>
      </c>
      <c r="I11" s="6" t="s">
        <v>881</v>
      </c>
      <c r="J11" s="6" t="s">
        <v>609</v>
      </c>
      <c r="K11" s="8" t="n">
        <v>46203</v>
      </c>
    </row>
    <row r="12" customFormat="false" ht="15" hidden="false" customHeight="false" outlineLevel="0" collapsed="false">
      <c r="A12" s="6" t="s">
        <v>898</v>
      </c>
      <c r="B12" s="6" t="s">
        <v>859</v>
      </c>
      <c r="C12" s="6" t="s">
        <v>53</v>
      </c>
      <c r="D12" s="6" t="s">
        <v>50</v>
      </c>
      <c r="E12" s="6" t="s">
        <v>887</v>
      </c>
      <c r="F12" s="6" t="s">
        <v>243</v>
      </c>
      <c r="G12" s="6" t="s">
        <v>244</v>
      </c>
      <c r="H12" s="6" t="n">
        <v>5</v>
      </c>
      <c r="I12" s="6" t="s">
        <v>883</v>
      </c>
      <c r="J12" s="6" t="s">
        <v>609</v>
      </c>
      <c r="K12" s="8" t="n">
        <v>46203</v>
      </c>
    </row>
    <row r="13" customFormat="false" ht="15" hidden="false" customHeight="false" outlineLevel="0" collapsed="false">
      <c r="A13" s="6" t="s">
        <v>899</v>
      </c>
      <c r="B13" s="6" t="s">
        <v>859</v>
      </c>
      <c r="C13" s="6" t="s">
        <v>53</v>
      </c>
      <c r="D13" s="6" t="s">
        <v>50</v>
      </c>
      <c r="E13" s="6" t="s">
        <v>887</v>
      </c>
      <c r="F13" s="6" t="s">
        <v>324</v>
      </c>
      <c r="G13" s="6" t="s">
        <v>325</v>
      </c>
      <c r="H13" s="6" t="n">
        <v>4</v>
      </c>
      <c r="I13" s="6" t="s">
        <v>900</v>
      </c>
      <c r="J13" s="6" t="s">
        <v>609</v>
      </c>
      <c r="K13" s="8" t="n">
        <v>46203</v>
      </c>
    </row>
    <row r="14" customFormat="false" ht="15" hidden="false" customHeight="false" outlineLevel="0" collapsed="false">
      <c r="A14" s="6" t="s">
        <v>901</v>
      </c>
      <c r="B14" s="6" t="s">
        <v>859</v>
      </c>
      <c r="C14" s="6" t="s">
        <v>53</v>
      </c>
      <c r="D14" s="6" t="s">
        <v>50</v>
      </c>
      <c r="E14" s="6" t="s">
        <v>887</v>
      </c>
      <c r="F14" s="6" t="s">
        <v>328</v>
      </c>
      <c r="G14" s="6" t="s">
        <v>226</v>
      </c>
      <c r="H14" s="6" t="n">
        <v>4</v>
      </c>
      <c r="I14" s="6" t="s">
        <v>883</v>
      </c>
      <c r="J14" s="6" t="s">
        <v>609</v>
      </c>
      <c r="K14" s="8" t="n">
        <v>46203</v>
      </c>
    </row>
    <row r="15" customFormat="false" ht="15" hidden="false" customHeight="false" outlineLevel="0" collapsed="false">
      <c r="A15" s="6" t="s">
        <v>902</v>
      </c>
      <c r="B15" s="6" t="s">
        <v>859</v>
      </c>
      <c r="C15" s="6" t="s">
        <v>53</v>
      </c>
      <c r="D15" s="6" t="s">
        <v>50</v>
      </c>
      <c r="E15" s="6" t="s">
        <v>903</v>
      </c>
      <c r="F15" s="6" t="s">
        <v>253</v>
      </c>
      <c r="G15" s="6" t="s">
        <v>254</v>
      </c>
      <c r="H15" s="6" t="n">
        <v>5</v>
      </c>
      <c r="I15" s="6" t="s">
        <v>888</v>
      </c>
      <c r="J15" s="6" t="s">
        <v>609</v>
      </c>
      <c r="K15" s="8" t="n">
        <v>46203</v>
      </c>
    </row>
    <row r="16" customFormat="false" ht="15" hidden="false" customHeight="false" outlineLevel="0" collapsed="false">
      <c r="A16" s="6" t="s">
        <v>904</v>
      </c>
      <c r="B16" s="6" t="s">
        <v>859</v>
      </c>
      <c r="C16" s="6" t="s">
        <v>53</v>
      </c>
      <c r="D16" s="6" t="s">
        <v>50</v>
      </c>
      <c r="E16" s="6" t="s">
        <v>903</v>
      </c>
      <c r="F16" s="6" t="s">
        <v>257</v>
      </c>
      <c r="G16" s="6" t="s">
        <v>258</v>
      </c>
      <c r="H16" s="6" t="n">
        <v>4</v>
      </c>
      <c r="I16" s="6" t="s">
        <v>888</v>
      </c>
      <c r="J16" s="6" t="s">
        <v>609</v>
      </c>
      <c r="K16" s="8" t="n">
        <v>46203</v>
      </c>
    </row>
    <row r="17" customFormat="false" ht="15" hidden="false" customHeight="false" outlineLevel="0" collapsed="false">
      <c r="A17" s="6" t="s">
        <v>905</v>
      </c>
      <c r="B17" s="6" t="s">
        <v>859</v>
      </c>
      <c r="C17" s="6" t="s">
        <v>53</v>
      </c>
      <c r="D17" s="6" t="s">
        <v>50</v>
      </c>
      <c r="E17" s="6" t="s">
        <v>906</v>
      </c>
      <c r="F17" s="6" t="s">
        <v>260</v>
      </c>
      <c r="G17" s="6" t="s">
        <v>261</v>
      </c>
      <c r="H17" s="6" t="n">
        <v>4</v>
      </c>
      <c r="I17" s="6" t="s">
        <v>885</v>
      </c>
      <c r="J17" s="6" t="s">
        <v>609</v>
      </c>
      <c r="K17" s="8" t="n">
        <v>46203</v>
      </c>
    </row>
    <row r="18" customFormat="false" ht="15" hidden="false" customHeight="false" outlineLevel="0" collapsed="false">
      <c r="A18" s="6" t="s">
        <v>907</v>
      </c>
      <c r="B18" s="6" t="s">
        <v>862</v>
      </c>
      <c r="C18" s="6" t="s">
        <v>57</v>
      </c>
      <c r="D18" s="6" t="s">
        <v>50</v>
      </c>
      <c r="E18" s="6" t="s">
        <v>880</v>
      </c>
      <c r="F18" s="6" t="s">
        <v>367</v>
      </c>
      <c r="G18" s="6" t="s">
        <v>368</v>
      </c>
      <c r="H18" s="6" t="n">
        <v>4</v>
      </c>
      <c r="I18" s="6" t="s">
        <v>881</v>
      </c>
      <c r="J18" s="6" t="s">
        <v>609</v>
      </c>
      <c r="K18" s="8" t="n">
        <v>46218</v>
      </c>
    </row>
    <row r="19" customFormat="false" ht="15" hidden="false" customHeight="false" outlineLevel="0" collapsed="false">
      <c r="A19" s="6" t="s">
        <v>908</v>
      </c>
      <c r="B19" s="6" t="s">
        <v>862</v>
      </c>
      <c r="C19" s="6" t="s">
        <v>57</v>
      </c>
      <c r="D19" s="6" t="s">
        <v>50</v>
      </c>
      <c r="E19" s="6" t="s">
        <v>880</v>
      </c>
      <c r="F19" s="6" t="s">
        <v>404</v>
      </c>
      <c r="G19" s="6" t="s">
        <v>213</v>
      </c>
      <c r="H19" s="6" t="n">
        <v>4</v>
      </c>
      <c r="I19" s="6" t="s">
        <v>909</v>
      </c>
      <c r="J19" s="6" t="s">
        <v>609</v>
      </c>
      <c r="K19" s="8" t="n">
        <v>46218</v>
      </c>
    </row>
    <row r="20" customFormat="false" ht="15" hidden="false" customHeight="false" outlineLevel="0" collapsed="false">
      <c r="A20" s="6" t="s">
        <v>910</v>
      </c>
      <c r="B20" s="6" t="s">
        <v>862</v>
      </c>
      <c r="C20" s="6" t="s">
        <v>57</v>
      </c>
      <c r="D20" s="6" t="s">
        <v>50</v>
      </c>
      <c r="E20" s="6" t="s">
        <v>880</v>
      </c>
      <c r="F20" s="6" t="s">
        <v>911</v>
      </c>
      <c r="G20" s="6" t="s">
        <v>912</v>
      </c>
      <c r="H20" s="6" t="n">
        <v>4</v>
      </c>
      <c r="I20" s="6" t="s">
        <v>883</v>
      </c>
      <c r="J20" s="6" t="s">
        <v>609</v>
      </c>
      <c r="K20" s="8" t="n">
        <v>46218</v>
      </c>
    </row>
    <row r="21" customFormat="false" ht="15" hidden="false" customHeight="false" outlineLevel="0" collapsed="false">
      <c r="A21" s="6" t="s">
        <v>913</v>
      </c>
      <c r="B21" s="6" t="s">
        <v>862</v>
      </c>
      <c r="C21" s="6" t="s">
        <v>57</v>
      </c>
      <c r="D21" s="6" t="s">
        <v>50</v>
      </c>
      <c r="E21" s="6" t="s">
        <v>887</v>
      </c>
      <c r="F21" s="6" t="s">
        <v>369</v>
      </c>
      <c r="G21" s="6" t="s">
        <v>370</v>
      </c>
      <c r="H21" s="6" t="n">
        <v>4</v>
      </c>
      <c r="I21" s="6" t="s">
        <v>883</v>
      </c>
      <c r="J21" s="6" t="s">
        <v>609</v>
      </c>
      <c r="K21" s="8" t="n">
        <v>46218</v>
      </c>
    </row>
    <row r="22" customFormat="false" ht="15" hidden="false" customHeight="false" outlineLevel="0" collapsed="false">
      <c r="A22" s="6" t="s">
        <v>914</v>
      </c>
      <c r="B22" s="6" t="s">
        <v>862</v>
      </c>
      <c r="C22" s="6" t="s">
        <v>57</v>
      </c>
      <c r="D22" s="6" t="s">
        <v>50</v>
      </c>
      <c r="E22" s="6" t="s">
        <v>887</v>
      </c>
      <c r="F22" s="6" t="s">
        <v>387</v>
      </c>
      <c r="G22" s="6" t="s">
        <v>388</v>
      </c>
      <c r="H22" s="6" t="n">
        <v>4</v>
      </c>
      <c r="I22" s="6" t="s">
        <v>915</v>
      </c>
      <c r="J22" s="6" t="s">
        <v>609</v>
      </c>
      <c r="K22" s="8" t="n">
        <v>46218</v>
      </c>
    </row>
    <row r="23" customFormat="false" ht="15" hidden="false" customHeight="false" outlineLevel="0" collapsed="false">
      <c r="A23" s="6" t="s">
        <v>916</v>
      </c>
      <c r="B23" s="6" t="s">
        <v>862</v>
      </c>
      <c r="C23" s="6" t="s">
        <v>57</v>
      </c>
      <c r="D23" s="6" t="s">
        <v>50</v>
      </c>
      <c r="E23" s="6" t="s">
        <v>903</v>
      </c>
      <c r="F23" s="6" t="s">
        <v>375</v>
      </c>
      <c r="G23" s="6" t="s">
        <v>376</v>
      </c>
      <c r="H23" s="6" t="n">
        <v>4</v>
      </c>
      <c r="I23" s="6" t="s">
        <v>885</v>
      </c>
      <c r="J23" s="6" t="s">
        <v>609</v>
      </c>
      <c r="K23" s="8" t="n">
        <v>46218</v>
      </c>
    </row>
    <row r="24" customFormat="false" ht="15" hidden="false" customHeight="false" outlineLevel="0" collapsed="false">
      <c r="A24" s="6" t="s">
        <v>917</v>
      </c>
      <c r="B24" s="6" t="s">
        <v>862</v>
      </c>
      <c r="C24" s="6" t="s">
        <v>57</v>
      </c>
      <c r="D24" s="6" t="s">
        <v>50</v>
      </c>
      <c r="E24" s="6" t="s">
        <v>903</v>
      </c>
      <c r="F24" s="6" t="s">
        <v>383</v>
      </c>
      <c r="G24" s="6" t="s">
        <v>172</v>
      </c>
      <c r="H24" s="6" t="n">
        <v>4</v>
      </c>
      <c r="I24" s="6" t="s">
        <v>888</v>
      </c>
      <c r="J24" s="6" t="s">
        <v>609</v>
      </c>
      <c r="K24" s="8" t="n">
        <v>46218</v>
      </c>
    </row>
    <row r="25" customFormat="false" ht="15" hidden="false" customHeight="false" outlineLevel="0" collapsed="false">
      <c r="A25" s="6" t="s">
        <v>918</v>
      </c>
      <c r="B25" s="6" t="s">
        <v>862</v>
      </c>
      <c r="C25" s="6" t="s">
        <v>57</v>
      </c>
      <c r="D25" s="6" t="s">
        <v>50</v>
      </c>
      <c r="E25" s="6" t="s">
        <v>906</v>
      </c>
      <c r="F25" s="6" t="s">
        <v>384</v>
      </c>
      <c r="G25" s="6" t="s">
        <v>164</v>
      </c>
      <c r="H25" s="6" t="n">
        <v>4</v>
      </c>
      <c r="I25" s="6" t="s">
        <v>919</v>
      </c>
      <c r="J25" s="6" t="s">
        <v>609</v>
      </c>
      <c r="K25" s="8" t="n">
        <v>46218</v>
      </c>
    </row>
    <row r="26" customFormat="false" ht="15" hidden="false" customHeight="false" outlineLevel="0" collapsed="false">
      <c r="A26" s="6" t="s">
        <v>920</v>
      </c>
      <c r="B26" s="6" t="s">
        <v>866</v>
      </c>
      <c r="C26" s="6" t="s">
        <v>58</v>
      </c>
      <c r="D26" s="6" t="s">
        <v>50</v>
      </c>
      <c r="E26" s="6" t="s">
        <v>921</v>
      </c>
      <c r="F26" s="6" t="s">
        <v>423</v>
      </c>
      <c r="G26" s="6" t="s">
        <v>424</v>
      </c>
      <c r="H26" s="6" t="n">
        <v>3</v>
      </c>
      <c r="I26" s="6" t="s">
        <v>919</v>
      </c>
      <c r="J26" s="6" t="s">
        <v>609</v>
      </c>
      <c r="K26" s="8" t="n">
        <v>45992</v>
      </c>
    </row>
    <row r="27" customFormat="false" ht="15" hidden="false" customHeight="false" outlineLevel="0" collapsed="false">
      <c r="A27" s="6" t="s">
        <v>922</v>
      </c>
      <c r="B27" s="6" t="s">
        <v>866</v>
      </c>
      <c r="C27" s="6" t="s">
        <v>58</v>
      </c>
      <c r="D27" s="6" t="s">
        <v>50</v>
      </c>
      <c r="E27" s="6" t="s">
        <v>921</v>
      </c>
      <c r="F27" s="6" t="s">
        <v>458</v>
      </c>
      <c r="G27" s="6" t="s">
        <v>459</v>
      </c>
      <c r="H27" s="6" t="n">
        <v>4</v>
      </c>
      <c r="I27" s="6" t="s">
        <v>881</v>
      </c>
      <c r="J27" s="6" t="s">
        <v>609</v>
      </c>
      <c r="K27" s="8" t="n">
        <v>45992</v>
      </c>
    </row>
    <row r="28" customFormat="false" ht="15" hidden="false" customHeight="false" outlineLevel="0" collapsed="false">
      <c r="A28" s="6" t="s">
        <v>923</v>
      </c>
      <c r="B28" s="6" t="s">
        <v>866</v>
      </c>
      <c r="C28" s="6" t="s">
        <v>58</v>
      </c>
      <c r="D28" s="6" t="s">
        <v>50</v>
      </c>
      <c r="E28" s="6" t="s">
        <v>921</v>
      </c>
      <c r="F28" s="6" t="s">
        <v>462</v>
      </c>
      <c r="G28" s="6" t="s">
        <v>397</v>
      </c>
      <c r="H28" s="6" t="n">
        <v>4</v>
      </c>
      <c r="I28" s="6" t="s">
        <v>888</v>
      </c>
      <c r="J28" s="6" t="s">
        <v>609</v>
      </c>
      <c r="K28" s="8" t="n">
        <v>45992</v>
      </c>
    </row>
    <row r="29" customFormat="false" ht="15" hidden="false" customHeight="false" outlineLevel="0" collapsed="false">
      <c r="A29" s="6" t="s">
        <v>924</v>
      </c>
      <c r="B29" s="6" t="s">
        <v>866</v>
      </c>
      <c r="C29" s="6" t="s">
        <v>58</v>
      </c>
      <c r="D29" s="6" t="s">
        <v>50</v>
      </c>
      <c r="E29" s="6" t="s">
        <v>925</v>
      </c>
      <c r="F29" s="6" t="s">
        <v>460</v>
      </c>
      <c r="G29" s="6" t="s">
        <v>461</v>
      </c>
      <c r="H29" s="6" t="n">
        <v>4</v>
      </c>
      <c r="I29" s="6" t="s">
        <v>883</v>
      </c>
      <c r="J29" s="6" t="s">
        <v>609</v>
      </c>
      <c r="K29" s="8" t="n">
        <v>45992</v>
      </c>
    </row>
    <row r="30" customFormat="false" ht="15" hidden="false" customHeight="false" outlineLevel="0" collapsed="false">
      <c r="A30" s="6" t="s">
        <v>926</v>
      </c>
      <c r="B30" s="6" t="s">
        <v>866</v>
      </c>
      <c r="C30" s="6" t="s">
        <v>58</v>
      </c>
      <c r="D30" s="6" t="s">
        <v>50</v>
      </c>
      <c r="E30" s="6" t="s">
        <v>925</v>
      </c>
      <c r="F30" s="6" t="s">
        <v>464</v>
      </c>
      <c r="G30" s="6" t="s">
        <v>399</v>
      </c>
      <c r="H30" s="6" t="n">
        <v>4</v>
      </c>
      <c r="I30" s="6" t="s">
        <v>915</v>
      </c>
      <c r="J30" s="6" t="s">
        <v>609</v>
      </c>
      <c r="K30" s="8" t="n">
        <v>45992</v>
      </c>
    </row>
    <row r="31" customFormat="false" ht="15" hidden="false" customHeight="false" outlineLevel="0" collapsed="false">
      <c r="A31" s="6" t="s">
        <v>927</v>
      </c>
      <c r="B31" s="6" t="s">
        <v>866</v>
      </c>
      <c r="C31" s="6" t="s">
        <v>58</v>
      </c>
      <c r="D31" s="6" t="s">
        <v>50</v>
      </c>
      <c r="E31" s="6" t="s">
        <v>925</v>
      </c>
      <c r="F31" s="6" t="s">
        <v>437</v>
      </c>
      <c r="G31" s="6" t="s">
        <v>438</v>
      </c>
      <c r="H31" s="6" t="n">
        <v>3</v>
      </c>
      <c r="I31" s="6" t="s">
        <v>881</v>
      </c>
      <c r="J31" s="6" t="s">
        <v>609</v>
      </c>
      <c r="K31" s="8" t="n">
        <v>45992</v>
      </c>
    </row>
    <row r="32" customFormat="false" ht="15" hidden="false" customHeight="false" outlineLevel="0" collapsed="false">
      <c r="A32" s="6" t="s">
        <v>928</v>
      </c>
      <c r="B32" s="6" t="s">
        <v>866</v>
      </c>
      <c r="C32" s="6" t="s">
        <v>61</v>
      </c>
      <c r="D32" s="6" t="s">
        <v>63</v>
      </c>
      <c r="E32" s="6" t="s">
        <v>880</v>
      </c>
      <c r="F32" s="6" t="s">
        <v>492</v>
      </c>
      <c r="G32" s="6" t="s">
        <v>213</v>
      </c>
      <c r="H32" s="6" t="n">
        <v>5</v>
      </c>
      <c r="I32" s="6" t="s">
        <v>883</v>
      </c>
      <c r="J32" s="6" t="s">
        <v>609</v>
      </c>
      <c r="K32" s="8" t="n">
        <v>46461</v>
      </c>
    </row>
    <row r="33" customFormat="false" ht="15" hidden="false" customHeight="false" outlineLevel="0" collapsed="false">
      <c r="A33" s="6" t="s">
        <v>929</v>
      </c>
      <c r="B33" s="6" t="s">
        <v>866</v>
      </c>
      <c r="C33" s="6" t="s">
        <v>61</v>
      </c>
      <c r="D33" s="6" t="s">
        <v>63</v>
      </c>
      <c r="E33" s="6" t="s">
        <v>880</v>
      </c>
      <c r="F33" s="6" t="s">
        <v>514</v>
      </c>
      <c r="G33" s="6" t="s">
        <v>401</v>
      </c>
      <c r="H33" s="6" t="n">
        <v>4</v>
      </c>
      <c r="I33" s="6" t="s">
        <v>888</v>
      </c>
      <c r="J33" s="6" t="s">
        <v>609</v>
      </c>
      <c r="K33" s="8" t="n">
        <v>46461</v>
      </c>
    </row>
    <row r="34" customFormat="false" ht="15" hidden="false" customHeight="false" outlineLevel="0" collapsed="false">
      <c r="A34" s="6" t="s">
        <v>930</v>
      </c>
      <c r="B34" s="6" t="s">
        <v>870</v>
      </c>
      <c r="C34" s="6" t="s">
        <v>57</v>
      </c>
      <c r="D34" s="6" t="s">
        <v>50</v>
      </c>
      <c r="E34" s="6" t="s">
        <v>931</v>
      </c>
      <c r="F34" s="6" t="s">
        <v>361</v>
      </c>
      <c r="G34" s="6" t="s">
        <v>362</v>
      </c>
      <c r="H34" s="6" t="n">
        <v>4</v>
      </c>
      <c r="I34" s="6" t="s">
        <v>888</v>
      </c>
      <c r="J34" s="6" t="s">
        <v>603</v>
      </c>
      <c r="K34" s="8" t="n">
        <v>46259</v>
      </c>
    </row>
    <row r="35" customFormat="false" ht="15" hidden="false" customHeight="false" outlineLevel="0" collapsed="false">
      <c r="A35" s="6" t="s">
        <v>932</v>
      </c>
      <c r="B35" s="6" t="s">
        <v>870</v>
      </c>
      <c r="C35" s="6" t="s">
        <v>57</v>
      </c>
      <c r="D35" s="6" t="s">
        <v>50</v>
      </c>
      <c r="E35" s="6" t="s">
        <v>931</v>
      </c>
      <c r="F35" s="6" t="s">
        <v>363</v>
      </c>
      <c r="G35" s="6" t="s">
        <v>364</v>
      </c>
      <c r="H35" s="6" t="n">
        <v>4</v>
      </c>
      <c r="I35" s="6" t="s">
        <v>881</v>
      </c>
      <c r="J35" s="6" t="s">
        <v>603</v>
      </c>
      <c r="K35" s="8" t="n">
        <v>46259</v>
      </c>
    </row>
    <row r="36" customFormat="false" ht="15" hidden="false" customHeight="false" outlineLevel="0" collapsed="false">
      <c r="A36" s="6" t="s">
        <v>933</v>
      </c>
      <c r="B36" s="6" t="s">
        <v>870</v>
      </c>
      <c r="C36" s="6" t="s">
        <v>57</v>
      </c>
      <c r="D36" s="6" t="s">
        <v>50</v>
      </c>
      <c r="E36" s="6" t="s">
        <v>931</v>
      </c>
      <c r="F36" s="6" t="s">
        <v>365</v>
      </c>
      <c r="G36" s="6" t="s">
        <v>366</v>
      </c>
      <c r="H36" s="6" t="n">
        <v>4</v>
      </c>
      <c r="I36" s="6" t="s">
        <v>883</v>
      </c>
      <c r="J36" s="6" t="s">
        <v>603</v>
      </c>
      <c r="K36" s="8" t="n">
        <v>46259</v>
      </c>
    </row>
  </sheetData>
  <autoFilter ref="A1:K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5" t="s">
        <v>934</v>
      </c>
      <c r="B1" s="5" t="s">
        <v>43</v>
      </c>
      <c r="C1" s="5" t="s">
        <v>65</v>
      </c>
      <c r="D1" s="5" t="s">
        <v>66</v>
      </c>
      <c r="E1" s="5" t="s">
        <v>935</v>
      </c>
    </row>
    <row r="2" customFormat="false" ht="15" hidden="false" customHeight="false" outlineLevel="0" collapsed="false">
      <c r="A2" s="6" t="s">
        <v>936</v>
      </c>
      <c r="B2" s="6" t="s">
        <v>58</v>
      </c>
      <c r="C2" s="6" t="s">
        <v>421</v>
      </c>
      <c r="D2" s="6" t="s">
        <v>422</v>
      </c>
      <c r="E2" s="6" t="s">
        <v>855</v>
      </c>
    </row>
    <row r="3" customFormat="false" ht="15" hidden="false" customHeight="false" outlineLevel="0" collapsed="false">
      <c r="A3" s="6" t="s">
        <v>937</v>
      </c>
      <c r="B3" s="6" t="s">
        <v>58</v>
      </c>
      <c r="C3" s="6" t="s">
        <v>433</v>
      </c>
      <c r="D3" s="6" t="s">
        <v>234</v>
      </c>
      <c r="E3" s="6" t="s">
        <v>855</v>
      </c>
    </row>
    <row r="4" customFormat="false" ht="15" hidden="false" customHeight="false" outlineLevel="0" collapsed="false">
      <c r="A4" s="6" t="s">
        <v>938</v>
      </c>
      <c r="B4" s="6" t="s">
        <v>53</v>
      </c>
      <c r="C4" s="6" t="s">
        <v>243</v>
      </c>
      <c r="D4" s="6" t="s">
        <v>244</v>
      </c>
      <c r="E4" s="6" t="s">
        <v>859</v>
      </c>
    </row>
    <row r="5" customFormat="false" ht="15" hidden="false" customHeight="false" outlineLevel="0" collapsed="false">
      <c r="A5" s="6" t="s">
        <v>939</v>
      </c>
      <c r="B5" s="6" t="s">
        <v>61</v>
      </c>
      <c r="C5" s="6" t="s">
        <v>514</v>
      </c>
      <c r="D5" s="6" t="s">
        <v>401</v>
      </c>
      <c r="E5" s="6" t="s">
        <v>866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8" min="7" style="0" width="9"/>
    <col collapsed="false" customWidth="true" hidden="false" outlineLevel="0" max="9" min="9" style="0" width="60"/>
    <col collapsed="false" customWidth="true" hidden="false" outlineLevel="0" max="10" min="10" style="0" width="70"/>
  </cols>
  <sheetData>
    <row r="1" customFormat="false" ht="39.55" hidden="false" customHeight="false" outlineLevel="0" collapsed="false">
      <c r="A1" s="5" t="s">
        <v>874</v>
      </c>
      <c r="B1" s="5" t="s">
        <v>848</v>
      </c>
      <c r="C1" s="5" t="s">
        <v>65</v>
      </c>
      <c r="D1" s="5" t="s">
        <v>940</v>
      </c>
      <c r="E1" s="5" t="s">
        <v>941</v>
      </c>
      <c r="F1" s="5" t="s">
        <v>942</v>
      </c>
      <c r="G1" s="5" t="s">
        <v>943</v>
      </c>
      <c r="H1" s="5" t="s">
        <v>944</v>
      </c>
      <c r="I1" s="5" t="s">
        <v>945</v>
      </c>
      <c r="J1" s="5" t="s">
        <v>946</v>
      </c>
    </row>
    <row r="2" customFormat="false" ht="23.85" hidden="false" customHeight="false" outlineLevel="0" collapsed="false">
      <c r="A2" s="6" t="s">
        <v>879</v>
      </c>
      <c r="B2" s="6" t="s">
        <v>855</v>
      </c>
      <c r="C2" s="6" t="s">
        <v>415</v>
      </c>
      <c r="D2" s="6" t="s">
        <v>947</v>
      </c>
      <c r="E2" s="6" t="s">
        <v>71</v>
      </c>
      <c r="F2" s="6" t="n">
        <v>4</v>
      </c>
      <c r="G2" s="6" t="n">
        <v>4</v>
      </c>
      <c r="H2" s="6" t="n">
        <v>0</v>
      </c>
      <c r="I2" s="7" t="s">
        <v>948</v>
      </c>
      <c r="J2" s="7" t="s">
        <v>949</v>
      </c>
    </row>
    <row r="3" customFormat="false" ht="15" hidden="false" customHeight="false" outlineLevel="0" collapsed="false">
      <c r="A3" s="6" t="s">
        <v>882</v>
      </c>
      <c r="B3" s="6" t="s">
        <v>855</v>
      </c>
      <c r="C3" s="6" t="s">
        <v>431</v>
      </c>
      <c r="D3" s="6" t="s">
        <v>947</v>
      </c>
      <c r="E3" s="6" t="s">
        <v>212</v>
      </c>
      <c r="F3" s="6" t="n">
        <v>4</v>
      </c>
      <c r="G3" s="6" t="n">
        <v>4</v>
      </c>
      <c r="H3" s="6" t="n">
        <v>0</v>
      </c>
      <c r="I3" s="7" t="s">
        <v>948</v>
      </c>
      <c r="J3" s="7" t="s">
        <v>950</v>
      </c>
    </row>
    <row r="4" customFormat="false" ht="23.85" hidden="false" customHeight="false" outlineLevel="0" collapsed="false">
      <c r="A4" s="6" t="s">
        <v>884</v>
      </c>
      <c r="B4" s="6" t="s">
        <v>855</v>
      </c>
      <c r="C4" s="6" t="s">
        <v>441</v>
      </c>
      <c r="D4" s="6" t="s">
        <v>947</v>
      </c>
      <c r="E4" s="6" t="s">
        <v>674</v>
      </c>
      <c r="F4" s="6" t="n">
        <v>3</v>
      </c>
      <c r="G4" s="6" t="n">
        <v>3</v>
      </c>
      <c r="H4" s="6" t="n">
        <v>0</v>
      </c>
      <c r="I4" s="7" t="s">
        <v>948</v>
      </c>
      <c r="J4" s="7" t="s">
        <v>951</v>
      </c>
    </row>
    <row r="5" customFormat="false" ht="23.85" hidden="false" customHeight="false" outlineLevel="0" collapsed="false">
      <c r="A5" s="6" t="s">
        <v>886</v>
      </c>
      <c r="B5" s="6" t="s">
        <v>855</v>
      </c>
      <c r="C5" s="6" t="s">
        <v>421</v>
      </c>
      <c r="D5" s="6" t="s">
        <v>952</v>
      </c>
      <c r="E5" s="6" t="s">
        <v>77</v>
      </c>
      <c r="F5" s="6" t="s">
        <v>953</v>
      </c>
      <c r="G5" s="6" t="n">
        <v>0</v>
      </c>
      <c r="H5" s="6" t="n">
        <v>4</v>
      </c>
      <c r="I5" s="7" t="s">
        <v>948</v>
      </c>
      <c r="J5" s="7" t="s">
        <v>954</v>
      </c>
    </row>
    <row r="6" customFormat="false" ht="23.85" hidden="false" customHeight="false" outlineLevel="0" collapsed="false">
      <c r="A6" s="6" t="s">
        <v>889</v>
      </c>
      <c r="B6" s="6" t="s">
        <v>855</v>
      </c>
      <c r="C6" s="6" t="s">
        <v>433</v>
      </c>
      <c r="D6" s="6" t="s">
        <v>952</v>
      </c>
      <c r="E6" s="6" t="s">
        <v>955</v>
      </c>
      <c r="F6" s="6" t="s">
        <v>956</v>
      </c>
      <c r="G6" s="6" t="n">
        <v>0</v>
      </c>
      <c r="H6" s="6" t="n">
        <v>3</v>
      </c>
      <c r="I6" s="7" t="s">
        <v>948</v>
      </c>
      <c r="J6" s="7" t="s">
        <v>957</v>
      </c>
    </row>
    <row r="7" customFormat="false" ht="23.85" hidden="false" customHeight="false" outlineLevel="0" collapsed="false">
      <c r="A7" s="6" t="s">
        <v>890</v>
      </c>
      <c r="B7" s="6" t="s">
        <v>855</v>
      </c>
      <c r="C7" s="6" t="s">
        <v>507</v>
      </c>
      <c r="D7" s="6" t="s">
        <v>947</v>
      </c>
      <c r="E7" s="6" t="s">
        <v>117</v>
      </c>
      <c r="F7" s="6" t="n">
        <v>2.66</v>
      </c>
      <c r="G7" s="6" t="n">
        <v>2.66</v>
      </c>
      <c r="H7" s="6" t="n">
        <v>0</v>
      </c>
      <c r="I7" s="7" t="s">
        <v>958</v>
      </c>
      <c r="J7" s="7" t="s">
        <v>959</v>
      </c>
    </row>
    <row r="8" customFormat="false" ht="15" hidden="false" customHeight="false" outlineLevel="0" collapsed="false">
      <c r="A8" s="6" t="s">
        <v>892</v>
      </c>
      <c r="B8" s="6" t="s">
        <v>859</v>
      </c>
      <c r="C8" s="6" t="s">
        <v>241</v>
      </c>
      <c r="D8" s="6" t="s">
        <v>947</v>
      </c>
      <c r="E8" s="6" t="s">
        <v>71</v>
      </c>
      <c r="F8" s="6" t="n">
        <v>5</v>
      </c>
      <c r="G8" s="6" t="n">
        <v>5</v>
      </c>
      <c r="H8" s="6" t="n">
        <v>0</v>
      </c>
      <c r="I8" s="7" t="s">
        <v>948</v>
      </c>
      <c r="J8" s="7" t="s">
        <v>960</v>
      </c>
    </row>
    <row r="9" customFormat="false" ht="15" hidden="false" customHeight="false" outlineLevel="0" collapsed="false">
      <c r="A9" s="6" t="s">
        <v>893</v>
      </c>
      <c r="B9" s="6" t="s">
        <v>859</v>
      </c>
      <c r="C9" s="6" t="s">
        <v>251</v>
      </c>
      <c r="D9" s="6" t="s">
        <v>947</v>
      </c>
      <c r="E9" s="6" t="s">
        <v>81</v>
      </c>
      <c r="F9" s="6" t="n">
        <v>4</v>
      </c>
      <c r="G9" s="6" t="n">
        <v>4</v>
      </c>
      <c r="H9" s="6" t="n">
        <v>0</v>
      </c>
      <c r="I9" s="7" t="s">
        <v>948</v>
      </c>
      <c r="J9" s="7" t="s">
        <v>961</v>
      </c>
    </row>
    <row r="10" customFormat="false" ht="15" hidden="false" customHeight="false" outlineLevel="0" collapsed="false">
      <c r="A10" s="6" t="s">
        <v>894</v>
      </c>
      <c r="B10" s="6" t="s">
        <v>859</v>
      </c>
      <c r="C10" s="6" t="s">
        <v>322</v>
      </c>
      <c r="D10" s="6" t="s">
        <v>947</v>
      </c>
      <c r="E10" s="6" t="s">
        <v>212</v>
      </c>
      <c r="F10" s="6" t="n">
        <v>4</v>
      </c>
      <c r="G10" s="6" t="n">
        <v>4</v>
      </c>
      <c r="H10" s="6" t="n">
        <v>0</v>
      </c>
      <c r="I10" s="7" t="s">
        <v>948</v>
      </c>
      <c r="J10" s="7" t="s">
        <v>962</v>
      </c>
    </row>
    <row r="11" customFormat="false" ht="23.85" hidden="false" customHeight="false" outlineLevel="0" collapsed="false">
      <c r="A11" s="6" t="s">
        <v>895</v>
      </c>
      <c r="B11" s="6" t="s">
        <v>859</v>
      </c>
      <c r="C11" s="6" t="s">
        <v>896</v>
      </c>
      <c r="D11" s="6" t="s">
        <v>963</v>
      </c>
      <c r="E11" s="6" t="s">
        <v>964</v>
      </c>
      <c r="F11" s="6" t="s">
        <v>953</v>
      </c>
      <c r="G11" s="6" t="n">
        <v>0</v>
      </c>
      <c r="H11" s="6" t="n">
        <v>4</v>
      </c>
      <c r="I11" s="7" t="s">
        <v>948</v>
      </c>
      <c r="J11" s="7" t="s">
        <v>965</v>
      </c>
    </row>
    <row r="12" customFormat="false" ht="23.85" hidden="false" customHeight="false" outlineLevel="0" collapsed="false">
      <c r="A12" s="6" t="s">
        <v>898</v>
      </c>
      <c r="B12" s="6" t="s">
        <v>859</v>
      </c>
      <c r="C12" s="6" t="s">
        <v>243</v>
      </c>
      <c r="D12" s="6" t="s">
        <v>952</v>
      </c>
      <c r="E12" s="6" t="s">
        <v>966</v>
      </c>
      <c r="F12" s="6" t="s">
        <v>967</v>
      </c>
      <c r="G12" s="6" t="n">
        <v>0</v>
      </c>
      <c r="H12" s="6" t="n">
        <v>5</v>
      </c>
      <c r="I12" s="7" t="s">
        <v>948</v>
      </c>
      <c r="J12" s="7" t="s">
        <v>968</v>
      </c>
    </row>
    <row r="13" customFormat="false" ht="15" hidden="false" customHeight="false" outlineLevel="0" collapsed="false">
      <c r="A13" s="6" t="s">
        <v>899</v>
      </c>
      <c r="B13" s="6" t="s">
        <v>859</v>
      </c>
      <c r="C13" s="6" t="s">
        <v>324</v>
      </c>
      <c r="D13" s="6" t="s">
        <v>947</v>
      </c>
      <c r="E13" s="6" t="s">
        <v>217</v>
      </c>
      <c r="F13" s="6" t="n">
        <v>0</v>
      </c>
      <c r="G13" s="6" t="n">
        <v>0</v>
      </c>
      <c r="H13" s="6" t="n">
        <v>0</v>
      </c>
      <c r="I13" s="7" t="s">
        <v>969</v>
      </c>
      <c r="J13" s="7" t="s">
        <v>970</v>
      </c>
    </row>
    <row r="14" customFormat="false" ht="23.85" hidden="false" customHeight="false" outlineLevel="0" collapsed="false">
      <c r="A14" s="6" t="s">
        <v>901</v>
      </c>
      <c r="B14" s="6" t="s">
        <v>859</v>
      </c>
      <c r="C14" s="6" t="s">
        <v>328</v>
      </c>
      <c r="D14" s="6" t="s">
        <v>947</v>
      </c>
      <c r="E14" s="6" t="s">
        <v>225</v>
      </c>
      <c r="F14" s="6" t="n">
        <v>4</v>
      </c>
      <c r="G14" s="6" t="n">
        <v>4</v>
      </c>
      <c r="H14" s="6" t="n">
        <v>0</v>
      </c>
      <c r="I14" s="7" t="s">
        <v>948</v>
      </c>
      <c r="J14" s="7" t="s">
        <v>971</v>
      </c>
    </row>
    <row r="15" customFormat="false" ht="35.05" hidden="false" customHeight="false" outlineLevel="0" collapsed="false">
      <c r="A15" s="6" t="s">
        <v>902</v>
      </c>
      <c r="B15" s="6" t="s">
        <v>859</v>
      </c>
      <c r="C15" s="6" t="s">
        <v>253</v>
      </c>
      <c r="D15" s="6" t="s">
        <v>947</v>
      </c>
      <c r="E15" s="6" t="s">
        <v>626</v>
      </c>
      <c r="F15" s="6" t="n">
        <v>5</v>
      </c>
      <c r="G15" s="6" t="n">
        <v>5</v>
      </c>
      <c r="H15" s="6" t="n">
        <v>0</v>
      </c>
      <c r="I15" s="7" t="s">
        <v>948</v>
      </c>
      <c r="J15" s="7" t="s">
        <v>972</v>
      </c>
    </row>
    <row r="16" customFormat="false" ht="23.85" hidden="false" customHeight="false" outlineLevel="0" collapsed="false">
      <c r="A16" s="6" t="s">
        <v>904</v>
      </c>
      <c r="B16" s="6" t="s">
        <v>859</v>
      </c>
      <c r="C16" s="6" t="s">
        <v>257</v>
      </c>
      <c r="D16" s="6" t="s">
        <v>947</v>
      </c>
      <c r="E16" s="6" t="s">
        <v>89</v>
      </c>
      <c r="F16" s="6" t="n">
        <v>4</v>
      </c>
      <c r="G16" s="6" t="n">
        <v>4</v>
      </c>
      <c r="H16" s="6" t="n">
        <v>0</v>
      </c>
      <c r="I16" s="7" t="s">
        <v>948</v>
      </c>
      <c r="J16" s="7" t="s">
        <v>973</v>
      </c>
    </row>
    <row r="17" customFormat="false" ht="23.85" hidden="false" customHeight="false" outlineLevel="0" collapsed="false">
      <c r="A17" s="6" t="s">
        <v>905</v>
      </c>
      <c r="B17" s="6" t="s">
        <v>859</v>
      </c>
      <c r="C17" s="6" t="s">
        <v>260</v>
      </c>
      <c r="D17" s="6" t="s">
        <v>947</v>
      </c>
      <c r="E17" s="6" t="s">
        <v>626</v>
      </c>
      <c r="F17" s="6" t="n">
        <v>4</v>
      </c>
      <c r="G17" s="6" t="n">
        <v>4</v>
      </c>
      <c r="H17" s="6" t="n">
        <v>0</v>
      </c>
      <c r="I17" s="7" t="s">
        <v>974</v>
      </c>
      <c r="J17" s="7" t="s">
        <v>975</v>
      </c>
    </row>
    <row r="18" customFormat="false" ht="15" hidden="false" customHeight="false" outlineLevel="0" collapsed="false">
      <c r="A18" s="6" t="s">
        <v>907</v>
      </c>
      <c r="B18" s="6" t="s">
        <v>862</v>
      </c>
      <c r="C18" s="6" t="s">
        <v>367</v>
      </c>
      <c r="D18" s="6" t="s">
        <v>947</v>
      </c>
      <c r="E18" s="6" t="s">
        <v>142</v>
      </c>
      <c r="F18" s="6" t="n">
        <v>4</v>
      </c>
      <c r="G18" s="6" t="n">
        <v>4</v>
      </c>
      <c r="H18" s="6" t="n">
        <v>0</v>
      </c>
      <c r="I18" s="7" t="s">
        <v>948</v>
      </c>
      <c r="J18" s="7" t="s">
        <v>976</v>
      </c>
    </row>
    <row r="19" customFormat="false" ht="15" hidden="false" customHeight="false" outlineLevel="0" collapsed="false">
      <c r="A19" s="6" t="s">
        <v>908</v>
      </c>
      <c r="B19" s="6" t="s">
        <v>862</v>
      </c>
      <c r="C19" s="6" t="s">
        <v>404</v>
      </c>
      <c r="D19" s="6" t="s">
        <v>947</v>
      </c>
      <c r="E19" s="6" t="s">
        <v>212</v>
      </c>
      <c r="F19" s="6" t="n">
        <v>4</v>
      </c>
      <c r="G19" s="6" t="n">
        <v>4</v>
      </c>
      <c r="H19" s="6" t="n">
        <v>0</v>
      </c>
      <c r="I19" s="7" t="s">
        <v>948</v>
      </c>
      <c r="J19" s="7" t="s">
        <v>977</v>
      </c>
    </row>
    <row r="20" customFormat="false" ht="15" hidden="false" customHeight="false" outlineLevel="0" collapsed="false">
      <c r="A20" s="6" t="s">
        <v>910</v>
      </c>
      <c r="B20" s="6" t="s">
        <v>862</v>
      </c>
      <c r="C20" s="6" t="s">
        <v>911</v>
      </c>
      <c r="D20" s="6" t="s">
        <v>963</v>
      </c>
      <c r="E20" s="6" t="s">
        <v>964</v>
      </c>
      <c r="F20" s="6" t="s">
        <v>953</v>
      </c>
      <c r="G20" s="6" t="n">
        <v>0</v>
      </c>
      <c r="H20" s="6" t="n">
        <v>4</v>
      </c>
      <c r="I20" s="7" t="s">
        <v>948</v>
      </c>
      <c r="J20" s="7" t="s">
        <v>978</v>
      </c>
    </row>
    <row r="21" customFormat="false" ht="15" hidden="false" customHeight="false" outlineLevel="0" collapsed="false">
      <c r="A21" s="6" t="s">
        <v>913</v>
      </c>
      <c r="B21" s="6" t="s">
        <v>862</v>
      </c>
      <c r="C21" s="6" t="s">
        <v>369</v>
      </c>
      <c r="D21" s="6" t="s">
        <v>947</v>
      </c>
      <c r="E21" s="6" t="s">
        <v>635</v>
      </c>
      <c r="F21" s="6" t="n">
        <v>4</v>
      </c>
      <c r="G21" s="6" t="n">
        <v>4</v>
      </c>
      <c r="H21" s="6" t="n">
        <v>0</v>
      </c>
      <c r="I21" s="7" t="s">
        <v>948</v>
      </c>
      <c r="J21" s="7" t="s">
        <v>979</v>
      </c>
    </row>
    <row r="22" customFormat="false" ht="15" hidden="false" customHeight="false" outlineLevel="0" collapsed="false">
      <c r="A22" s="6" t="s">
        <v>914</v>
      </c>
      <c r="B22" s="6" t="s">
        <v>862</v>
      </c>
      <c r="C22" s="6" t="s">
        <v>387</v>
      </c>
      <c r="D22" s="6" t="s">
        <v>947</v>
      </c>
      <c r="E22" s="6" t="s">
        <v>179</v>
      </c>
      <c r="F22" s="6" t="n">
        <v>4</v>
      </c>
      <c r="G22" s="6" t="n">
        <v>4</v>
      </c>
      <c r="H22" s="6" t="n">
        <v>0</v>
      </c>
      <c r="I22" s="7" t="s">
        <v>948</v>
      </c>
      <c r="J22" s="7" t="s">
        <v>980</v>
      </c>
    </row>
    <row r="23" customFormat="false" ht="23.85" hidden="false" customHeight="false" outlineLevel="0" collapsed="false">
      <c r="A23" s="6" t="s">
        <v>916</v>
      </c>
      <c r="B23" s="6" t="s">
        <v>862</v>
      </c>
      <c r="C23" s="6" t="s">
        <v>375</v>
      </c>
      <c r="D23" s="6" t="s">
        <v>952</v>
      </c>
      <c r="E23" s="6" t="s">
        <v>981</v>
      </c>
      <c r="F23" s="6" t="s">
        <v>953</v>
      </c>
      <c r="G23" s="6" t="n">
        <v>0</v>
      </c>
      <c r="H23" s="6" t="n">
        <v>4</v>
      </c>
      <c r="I23" s="7" t="s">
        <v>948</v>
      </c>
      <c r="J23" s="7" t="s">
        <v>982</v>
      </c>
    </row>
    <row r="24" customFormat="false" ht="15" hidden="false" customHeight="false" outlineLevel="0" collapsed="false">
      <c r="A24" s="6" t="s">
        <v>917</v>
      </c>
      <c r="B24" s="6" t="s">
        <v>862</v>
      </c>
      <c r="C24" s="6" t="s">
        <v>383</v>
      </c>
      <c r="D24" s="6" t="s">
        <v>947</v>
      </c>
      <c r="E24" s="6" t="s">
        <v>171</v>
      </c>
      <c r="F24" s="6" t="n">
        <v>4</v>
      </c>
      <c r="G24" s="6" t="n">
        <v>4</v>
      </c>
      <c r="H24" s="6" t="n">
        <v>0</v>
      </c>
      <c r="I24" s="7" t="s">
        <v>948</v>
      </c>
      <c r="J24" s="7" t="s">
        <v>983</v>
      </c>
    </row>
    <row r="25" customFormat="false" ht="23.85" hidden="false" customHeight="false" outlineLevel="0" collapsed="false">
      <c r="A25" s="6" t="s">
        <v>918</v>
      </c>
      <c r="B25" s="6" t="s">
        <v>862</v>
      </c>
      <c r="C25" s="6" t="s">
        <v>384</v>
      </c>
      <c r="D25" s="6" t="s">
        <v>947</v>
      </c>
      <c r="E25" s="6" t="s">
        <v>163</v>
      </c>
      <c r="F25" s="6" t="s">
        <v>984</v>
      </c>
      <c r="G25" s="6" t="n">
        <v>0</v>
      </c>
      <c r="H25" s="6" t="n">
        <v>4</v>
      </c>
      <c r="I25" s="7" t="s">
        <v>985</v>
      </c>
      <c r="J25" s="7" t="s">
        <v>986</v>
      </c>
    </row>
    <row r="26" customFormat="false" ht="23.85" hidden="false" customHeight="false" outlineLevel="0" collapsed="false">
      <c r="A26" s="6" t="s">
        <v>920</v>
      </c>
      <c r="B26" s="6" t="s">
        <v>866</v>
      </c>
      <c r="C26" s="6" t="s">
        <v>423</v>
      </c>
      <c r="D26" s="6" t="s">
        <v>947</v>
      </c>
      <c r="E26" s="6" t="s">
        <v>51</v>
      </c>
      <c r="F26" s="6" t="n">
        <v>0</v>
      </c>
      <c r="G26" s="6" t="n">
        <v>0</v>
      </c>
      <c r="H26" s="6" t="n">
        <v>0</v>
      </c>
      <c r="I26" s="7" t="s">
        <v>985</v>
      </c>
      <c r="J26" s="7" t="s">
        <v>987</v>
      </c>
    </row>
    <row r="27" customFormat="false" ht="15" hidden="false" customHeight="false" outlineLevel="0" collapsed="false">
      <c r="A27" s="6" t="s">
        <v>922</v>
      </c>
      <c r="B27" s="6" t="s">
        <v>866</v>
      </c>
      <c r="C27" s="6" t="s">
        <v>458</v>
      </c>
      <c r="D27" s="6" t="s">
        <v>947</v>
      </c>
      <c r="E27" s="6" t="s">
        <v>179</v>
      </c>
      <c r="F27" s="6" t="n">
        <v>4</v>
      </c>
      <c r="G27" s="6" t="n">
        <v>4</v>
      </c>
      <c r="H27" s="6" t="n">
        <v>0</v>
      </c>
      <c r="I27" s="7" t="s">
        <v>948</v>
      </c>
      <c r="J27" s="7" t="s">
        <v>988</v>
      </c>
    </row>
    <row r="28" customFormat="false" ht="15" hidden="false" customHeight="false" outlineLevel="0" collapsed="false">
      <c r="A28" s="6" t="s">
        <v>923</v>
      </c>
      <c r="B28" s="6" t="s">
        <v>866</v>
      </c>
      <c r="C28" s="6" t="s">
        <v>462</v>
      </c>
      <c r="D28" s="6" t="s">
        <v>947</v>
      </c>
      <c r="E28" s="6" t="s">
        <v>196</v>
      </c>
      <c r="F28" s="6" t="n">
        <v>4</v>
      </c>
      <c r="G28" s="6" t="n">
        <v>4</v>
      </c>
      <c r="H28" s="6" t="n">
        <v>0</v>
      </c>
      <c r="I28" s="7" t="s">
        <v>948</v>
      </c>
      <c r="J28" s="7" t="s">
        <v>989</v>
      </c>
    </row>
    <row r="29" customFormat="false" ht="15" hidden="false" customHeight="false" outlineLevel="0" collapsed="false">
      <c r="A29" s="6" t="s">
        <v>924</v>
      </c>
      <c r="B29" s="6" t="s">
        <v>866</v>
      </c>
      <c r="C29" s="6" t="s">
        <v>460</v>
      </c>
      <c r="D29" s="6" t="s">
        <v>947</v>
      </c>
      <c r="E29" s="6" t="s">
        <v>184</v>
      </c>
      <c r="F29" s="6" t="n">
        <v>4</v>
      </c>
      <c r="G29" s="6" t="n">
        <v>4</v>
      </c>
      <c r="H29" s="6" t="n">
        <v>0</v>
      </c>
      <c r="I29" s="7" t="s">
        <v>948</v>
      </c>
      <c r="J29" s="7" t="s">
        <v>990</v>
      </c>
    </row>
    <row r="30" customFormat="false" ht="15" hidden="false" customHeight="false" outlineLevel="0" collapsed="false">
      <c r="A30" s="6" t="s">
        <v>926</v>
      </c>
      <c r="B30" s="6" t="s">
        <v>866</v>
      </c>
      <c r="C30" s="6" t="s">
        <v>464</v>
      </c>
      <c r="D30" s="6" t="s">
        <v>947</v>
      </c>
      <c r="E30" s="6" t="s">
        <v>200</v>
      </c>
      <c r="F30" s="6" t="n">
        <v>4</v>
      </c>
      <c r="G30" s="6" t="n">
        <v>4</v>
      </c>
      <c r="H30" s="6" t="n">
        <v>0</v>
      </c>
      <c r="I30" s="7" t="s">
        <v>948</v>
      </c>
      <c r="J30" s="7" t="s">
        <v>991</v>
      </c>
    </row>
    <row r="31" customFormat="false" ht="15" hidden="false" customHeight="false" outlineLevel="0" collapsed="false">
      <c r="A31" s="6" t="s">
        <v>927</v>
      </c>
      <c r="B31" s="6" t="s">
        <v>866</v>
      </c>
      <c r="C31" s="6" t="s">
        <v>437</v>
      </c>
      <c r="D31" s="6" t="s">
        <v>947</v>
      </c>
      <c r="E31" s="6" t="s">
        <v>658</v>
      </c>
      <c r="F31" s="6" t="n">
        <v>3</v>
      </c>
      <c r="G31" s="6" t="n">
        <v>3</v>
      </c>
      <c r="H31" s="6" t="n">
        <v>0</v>
      </c>
      <c r="I31" s="7" t="s">
        <v>948</v>
      </c>
      <c r="J31" s="7" t="s">
        <v>992</v>
      </c>
    </row>
    <row r="32" customFormat="false" ht="23.85" hidden="false" customHeight="false" outlineLevel="0" collapsed="false">
      <c r="A32" s="6" t="s">
        <v>928</v>
      </c>
      <c r="B32" s="6" t="s">
        <v>866</v>
      </c>
      <c r="C32" s="6" t="s">
        <v>492</v>
      </c>
      <c r="D32" s="6" t="s">
        <v>947</v>
      </c>
      <c r="E32" s="6" t="s">
        <v>212</v>
      </c>
      <c r="F32" s="6" t="s">
        <v>993</v>
      </c>
      <c r="G32" s="6" t="n">
        <v>0</v>
      </c>
      <c r="H32" s="6" t="n">
        <v>0</v>
      </c>
      <c r="I32" s="7" t="s">
        <v>994</v>
      </c>
      <c r="J32" s="7" t="s">
        <v>995</v>
      </c>
    </row>
    <row r="33" customFormat="false" ht="23.85" hidden="false" customHeight="false" outlineLevel="0" collapsed="false">
      <c r="A33" s="6" t="s">
        <v>929</v>
      </c>
      <c r="B33" s="6" t="s">
        <v>866</v>
      </c>
      <c r="C33" s="6" t="s">
        <v>514</v>
      </c>
      <c r="D33" s="6" t="s">
        <v>952</v>
      </c>
      <c r="E33" s="6" t="s">
        <v>996</v>
      </c>
      <c r="F33" s="6" t="s">
        <v>993</v>
      </c>
      <c r="G33" s="6" t="n">
        <v>0</v>
      </c>
      <c r="H33" s="6" t="n">
        <v>0</v>
      </c>
      <c r="I33" s="7" t="s">
        <v>997</v>
      </c>
      <c r="J33" s="7" t="s">
        <v>998</v>
      </c>
    </row>
    <row r="34" customFormat="false" ht="23.85" hidden="false" customHeight="false" outlineLevel="0" collapsed="false">
      <c r="A34" s="6" t="s">
        <v>930</v>
      </c>
      <c r="B34" s="6" t="s">
        <v>870</v>
      </c>
      <c r="C34" s="6" t="s">
        <v>361</v>
      </c>
      <c r="D34" s="6" t="s">
        <v>947</v>
      </c>
      <c r="E34" s="6" t="s">
        <v>130</v>
      </c>
      <c r="F34" s="6" t="n">
        <v>4</v>
      </c>
      <c r="G34" s="6" t="n">
        <v>4</v>
      </c>
      <c r="H34" s="6" t="n">
        <v>0</v>
      </c>
      <c r="I34" s="7" t="s">
        <v>948</v>
      </c>
      <c r="J34" s="7" t="s">
        <v>999</v>
      </c>
    </row>
    <row r="35" customFormat="false" ht="15" hidden="false" customHeight="false" outlineLevel="0" collapsed="false">
      <c r="A35" s="6" t="s">
        <v>932</v>
      </c>
      <c r="B35" s="6" t="s">
        <v>870</v>
      </c>
      <c r="C35" s="6" t="s">
        <v>363</v>
      </c>
      <c r="D35" s="6" t="s">
        <v>947</v>
      </c>
      <c r="E35" s="6" t="s">
        <v>134</v>
      </c>
      <c r="F35" s="6" t="n">
        <v>4</v>
      </c>
      <c r="G35" s="6" t="n">
        <v>4</v>
      </c>
      <c r="H35" s="6" t="n">
        <v>0</v>
      </c>
      <c r="I35" s="7" t="s">
        <v>948</v>
      </c>
      <c r="J35" s="7" t="s">
        <v>1000</v>
      </c>
    </row>
    <row r="36" customFormat="false" ht="35.05" hidden="false" customHeight="false" outlineLevel="0" collapsed="false">
      <c r="A36" s="6" t="s">
        <v>933</v>
      </c>
      <c r="B36" s="6" t="s">
        <v>870</v>
      </c>
      <c r="C36" s="6" t="s">
        <v>365</v>
      </c>
      <c r="D36" s="6" t="s">
        <v>947</v>
      </c>
      <c r="E36" s="6" t="s">
        <v>138</v>
      </c>
      <c r="F36" s="6" t="s">
        <v>1001</v>
      </c>
      <c r="G36" s="6" t="n">
        <v>0</v>
      </c>
      <c r="H36" s="6" t="n">
        <v>4</v>
      </c>
      <c r="I36" s="7" t="s">
        <v>1002</v>
      </c>
      <c r="J36" s="7" t="s">
        <v>1003</v>
      </c>
    </row>
  </sheetData>
  <autoFilter ref="A1:J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3"/>
  </cols>
  <sheetData>
    <row r="1" customFormat="false" ht="16.15" hidden="false" customHeight="false" outlineLevel="0" collapsed="false">
      <c r="A1" s="9" t="s">
        <v>1004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</row>
    <row r="3" customFormat="false" ht="15" hidden="false" customHeight="false" outlineLevel="0" collapsed="false">
      <c r="A3" s="11" t="s">
        <v>1005</v>
      </c>
      <c r="B3" s="11" t="s">
        <v>1006</v>
      </c>
      <c r="C3" s="11"/>
      <c r="D3" s="11"/>
      <c r="E3" s="11"/>
      <c r="F3" s="11"/>
    </row>
    <row r="4" customFormat="false" ht="15" hidden="false" customHeight="false" outlineLevel="0" collapsed="false">
      <c r="A4" s="10" t="s">
        <v>602</v>
      </c>
      <c r="B4" s="10" t="n">
        <f aca="false">COUNTIFS('Past Decisions'!$H:$H,A4,'Past Decisions'!$P:$P,"Active")</f>
        <v>73</v>
      </c>
      <c r="C4" s="10"/>
      <c r="D4" s="10"/>
      <c r="E4" s="10"/>
      <c r="F4" s="10"/>
    </row>
    <row r="5" customFormat="false" ht="15" hidden="false" customHeight="false" outlineLevel="0" collapsed="false">
      <c r="A5" s="10" t="s">
        <v>669</v>
      </c>
      <c r="B5" s="10" t="n">
        <f aca="false">COUNTIFS('Past Decisions'!$H:$H,A5,'Past Decisions'!$P:$P,"Active")</f>
        <v>2</v>
      </c>
      <c r="C5" s="10"/>
      <c r="D5" s="10"/>
      <c r="E5" s="10"/>
      <c r="F5" s="10"/>
    </row>
    <row r="6" customFormat="false" ht="15" hidden="false" customHeight="false" outlineLevel="0" collapsed="false">
      <c r="A6" s="10" t="s">
        <v>625</v>
      </c>
      <c r="B6" s="10" t="n">
        <f aca="false">COUNTIFS('Past Decisions'!$H:$H,A6,'Past Decisions'!$P:$P,"Active")</f>
        <v>30</v>
      </c>
      <c r="C6" s="10"/>
      <c r="D6" s="10"/>
      <c r="E6" s="10"/>
      <c r="F6" s="10"/>
    </row>
    <row r="7" customFormat="false" ht="15" hidden="false" customHeight="false" outlineLevel="0" collapsed="false">
      <c r="A7" s="10" t="s">
        <v>575</v>
      </c>
      <c r="B7" s="10" t="n">
        <f aca="false">COUNTIFS('Past Decisions'!$H:$H,A7,'Past Decisions'!$P:$P,"Active")</f>
        <v>3</v>
      </c>
      <c r="C7" s="10"/>
      <c r="D7" s="10"/>
      <c r="E7" s="10"/>
      <c r="F7" s="10"/>
    </row>
    <row r="8" customFormat="false" ht="15" hidden="false" customHeight="false" outlineLevel="0" collapsed="false">
      <c r="A8" s="10" t="s">
        <v>632</v>
      </c>
      <c r="B8" s="10" t="n">
        <f aca="false">COUNTIF('Past Decisions'!$P:$P,"Superseded")</f>
        <v>3</v>
      </c>
      <c r="C8" s="10"/>
      <c r="D8" s="10"/>
      <c r="E8" s="10"/>
      <c r="F8" s="10"/>
    </row>
    <row r="9" customFormat="false" ht="15" hidden="false" customHeight="false" outlineLevel="0" collapsed="false">
      <c r="A9" s="10" t="s">
        <v>1007</v>
      </c>
      <c r="B9" s="10" t="n">
        <f aca="false">SUM(B4:B8)</f>
        <v>111</v>
      </c>
      <c r="C9" s="10"/>
      <c r="D9" s="10"/>
      <c r="E9" s="10"/>
      <c r="F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1" t="s">
        <v>1008</v>
      </c>
      <c r="B11" s="11" t="s">
        <v>1009</v>
      </c>
      <c r="C11" s="11" t="s">
        <v>947</v>
      </c>
      <c r="D11" s="11" t="s">
        <v>1010</v>
      </c>
      <c r="E11" s="11" t="s">
        <v>943</v>
      </c>
      <c r="F11" s="11" t="s">
        <v>944</v>
      </c>
    </row>
    <row r="12" customFormat="false" ht="15" hidden="false" customHeight="false" outlineLevel="0" collapsed="false">
      <c r="A12" s="10" t="s">
        <v>855</v>
      </c>
      <c r="B12" s="10" t="n">
        <f aca="false">COUNTIF('Transcript Lines'!$B:$B,A12)</f>
        <v>6</v>
      </c>
      <c r="C12" s="10" t="n">
        <f aca="false">COUNTIFS('Answer Key'!$B:$B,A12,'Answer Key'!$D:$D,"Existing equivalency")</f>
        <v>4</v>
      </c>
      <c r="D12" s="10" t="n">
        <f aca="false">COUNTIFS('Answer Key'!$B:$B,A12,'Answer Key'!$D:$D,"Maybe*")</f>
        <v>2</v>
      </c>
      <c r="E12" s="12" t="n">
        <f aca="false">SUMIF('Answer Key'!$B:$B,A12,'Answer Key'!$G:$G)</f>
        <v>13.66</v>
      </c>
      <c r="F12" s="12" t="n">
        <f aca="false">SUMIF('Answer Key'!$B:$B,A12,'Answer Key'!$H:$H)</f>
        <v>7</v>
      </c>
    </row>
    <row r="13" customFormat="false" ht="15" hidden="false" customHeight="false" outlineLevel="0" collapsed="false">
      <c r="A13" s="10" t="s">
        <v>859</v>
      </c>
      <c r="B13" s="10" t="n">
        <f aca="false">COUNTIF('Transcript Lines'!$B:$B,A13)</f>
        <v>10</v>
      </c>
      <c r="C13" s="10" t="n">
        <f aca="false">COUNTIFS('Answer Key'!$B:$B,A13,'Answer Key'!$D:$D,"Existing equivalency")</f>
        <v>8</v>
      </c>
      <c r="D13" s="10" t="n">
        <f aca="false">COUNTIFS('Answer Key'!$B:$B,A13,'Answer Key'!$D:$D,"Maybe*")</f>
        <v>2</v>
      </c>
      <c r="E13" s="12" t="n">
        <f aca="false">SUMIF('Answer Key'!$B:$B,A13,'Answer Key'!$G:$G)</f>
        <v>30</v>
      </c>
      <c r="F13" s="12" t="n">
        <f aca="false">SUMIF('Answer Key'!$B:$B,A13,'Answer Key'!$H:$H)</f>
        <v>9</v>
      </c>
    </row>
    <row r="14" customFormat="false" ht="15" hidden="false" customHeight="false" outlineLevel="0" collapsed="false">
      <c r="A14" s="10" t="s">
        <v>862</v>
      </c>
      <c r="B14" s="10" t="n">
        <f aca="false">COUNTIF('Transcript Lines'!$B:$B,A14)</f>
        <v>8</v>
      </c>
      <c r="C14" s="10" t="n">
        <f aca="false">COUNTIFS('Answer Key'!$B:$B,A14,'Answer Key'!$D:$D,"Existing equivalency")</f>
        <v>6</v>
      </c>
      <c r="D14" s="10" t="n">
        <f aca="false">COUNTIFS('Answer Key'!$B:$B,A14,'Answer Key'!$D:$D,"Maybe*")</f>
        <v>2</v>
      </c>
      <c r="E14" s="12" t="n">
        <f aca="false">SUMIF('Answer Key'!$B:$B,A14,'Answer Key'!$G:$G)</f>
        <v>20</v>
      </c>
      <c r="F14" s="12" t="n">
        <f aca="false">SUMIF('Answer Key'!$B:$B,A14,'Answer Key'!$H:$H)</f>
        <v>12</v>
      </c>
    </row>
    <row r="15" customFormat="false" ht="15" hidden="false" customHeight="false" outlineLevel="0" collapsed="false">
      <c r="A15" s="10" t="s">
        <v>866</v>
      </c>
      <c r="B15" s="10" t="n">
        <f aca="false">COUNTIF('Transcript Lines'!$B:$B,A15)</f>
        <v>8</v>
      </c>
      <c r="C15" s="10" t="n">
        <f aca="false">COUNTIFS('Answer Key'!$B:$B,A15,'Answer Key'!$D:$D,"Existing equivalency")</f>
        <v>7</v>
      </c>
      <c r="D15" s="10" t="n">
        <f aca="false">COUNTIFS('Answer Key'!$B:$B,A15,'Answer Key'!$D:$D,"Maybe*")</f>
        <v>1</v>
      </c>
      <c r="E15" s="12" t="n">
        <f aca="false">SUMIF('Answer Key'!$B:$B,A15,'Answer Key'!$G:$G)</f>
        <v>19</v>
      </c>
      <c r="F15" s="12" t="n">
        <f aca="false">SUMIF('Answer Key'!$B:$B,A15,'Answer Key'!$H:$H)</f>
        <v>0</v>
      </c>
    </row>
    <row r="16" customFormat="false" ht="15" hidden="false" customHeight="false" outlineLevel="0" collapsed="false">
      <c r="A16" s="10" t="s">
        <v>870</v>
      </c>
      <c r="B16" s="10" t="n">
        <f aca="false">COUNTIF('Transcript Lines'!$B:$B,A16)</f>
        <v>3</v>
      </c>
      <c r="C16" s="10" t="n">
        <f aca="false">COUNTIFS('Answer Key'!$B:$B,A16,'Answer Key'!$D:$D,"Existing equivalency")</f>
        <v>3</v>
      </c>
      <c r="D16" s="10" t="n">
        <f aca="false">COUNTIFS('Answer Key'!$B:$B,A16,'Answer Key'!$D:$D,"Maybe*")</f>
        <v>0</v>
      </c>
      <c r="E16" s="12" t="n">
        <f aca="false">SUMIF('Answer Key'!$B:$B,A16,'Answer Key'!$G:$G)</f>
        <v>8</v>
      </c>
      <c r="F16" s="12" t="n">
        <f aca="false">SUMIF('Answer Key'!$B:$B,A16,'Answer Key'!$H:$H)</f>
        <v>4</v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 t="s">
        <v>1011</v>
      </c>
      <c r="B18" s="10" t="str">
        <f aca="false">IF(AND(C12-COUNTIFS('Transcript Lines'!$B:$B,"SYN-1001",'Transcript Lines'!$D:$D,"Quarter")=3,D12=2,COUNTIFS('Transcript Lines'!$B:$B,"SYN-1001",'Transcript Lines'!$D:$D,"Quarter")=1),"OK","CHECK")</f>
        <v>OK</v>
      </c>
      <c r="C18" s="10"/>
      <c r="D18" s="10"/>
      <c r="E18" s="10"/>
      <c r="F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2026-10-26T06:15:46Z</dcterms:created>
  <dc:creator>openpyxl</dc:creator>
  <dc:description/>
  <dc:language>en-US</dc:language>
  <cp:lastModifiedBy/>
  <dcterms:modified xsi:type="dcterms:W3CDTF">2026-10-26T06:15:47Z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